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C:\Users\ritik\Downloads\"/>
    </mc:Choice>
  </mc:AlternateContent>
  <xr:revisionPtr revIDLastSave="0" documentId="13_ncr:1_{29B59900-A129-49D3-963C-86BB83213277}" xr6:coauthVersionLast="47" xr6:coauthVersionMax="47" xr10:uidLastSave="{00000000-0000-0000-0000-000000000000}"/>
  <bookViews>
    <workbookView xWindow="-120" yWindow="-120" windowWidth="20730" windowHeight="11040" activeTab="1" xr2:uid="{00000000-000D-0000-FFFF-FFFF00000000}"/>
  </bookViews>
  <sheets>
    <sheet name="Introduction" sheetId="1" r:id="rId1"/>
    <sheet name="Dashboard" sheetId="9" r:id="rId2"/>
    <sheet name="Sheet1" sheetId="10" state="hidden" r:id="rId3"/>
    <sheet name="Raw Data" sheetId="2" r:id="rId4"/>
    <sheet name="Database" sheetId="3" r:id="rId5"/>
    <sheet name="Calculator" sheetId="7" r:id="rId6"/>
    <sheet name="Helper sheet" sheetId="8" state="hidden" r:id="rId7"/>
  </sheets>
  <definedNames>
    <definedName name="Department">OFFSET(Database!$G$5,0,0,COUNTA(Database!$G:$G)-2,1)</definedName>
    <definedName name="Line">OFFSET(Database!$L$5,0,0,COUNTA(Database!$L:$L)-2,1)</definedName>
    <definedName name="NativeTimeline_Date">#N/A</definedName>
    <definedName name="Product">OFFSET(Database!$B$5,0,0,COUNTA(Database!$B:$B)-2,1)</definedName>
    <definedName name="roots">OFFSET(Database!$J$5,0,0,COUNTA(Database!$J:$J)-2,1)</definedName>
    <definedName name="Shift">OFFSET(Database!$G$5,0,0,COUNTA(Database!$G:$G)-2,1)</definedName>
    <definedName name="Slicer_Failure_Root_Cause">#N/A</definedName>
    <definedName name="Slicer_Line">#N/A</definedName>
    <definedName name="Slicer_Product">#N/A</definedName>
    <definedName name="Slicer_Shift">#N/A</definedName>
    <definedName name="time">OFFSET('Helper sheet'!$B$3,0,0,COUNTA('Helper sheet'!$B:$B)-1,1)</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8" i="2" l="1"/>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G3" i="2"/>
  <c r="I3" i="2" s="1"/>
  <c r="P3" i="2"/>
  <c r="R3" i="2"/>
  <c r="U3" i="2"/>
  <c r="V3" i="2" s="1"/>
  <c r="W3" i="2"/>
  <c r="AA3" i="2"/>
  <c r="G4" i="2"/>
  <c r="I4" i="2" s="1"/>
  <c r="P4" i="2"/>
  <c r="R4" i="2"/>
  <c r="U4" i="2"/>
  <c r="V4" i="2" s="1"/>
  <c r="W4" i="2"/>
  <c r="AA4" i="2"/>
  <c r="G5" i="2"/>
  <c r="I5" i="2" s="1"/>
  <c r="P5" i="2"/>
  <c r="R5" i="2"/>
  <c r="U5" i="2"/>
  <c r="V5" i="2" s="1"/>
  <c r="W5" i="2"/>
  <c r="AA5" i="2"/>
  <c r="G6" i="2"/>
  <c r="I6" i="2" s="1"/>
  <c r="P6" i="2"/>
  <c r="R6" i="2"/>
  <c r="U6" i="2"/>
  <c r="V6" i="2" s="1"/>
  <c r="W6" i="2"/>
  <c r="AA6" i="2"/>
  <c r="G7" i="2"/>
  <c r="I7" i="2" s="1"/>
  <c r="P7" i="2"/>
  <c r="R7" i="2"/>
  <c r="U7" i="2"/>
  <c r="V7" i="2" s="1"/>
  <c r="W7" i="2"/>
  <c r="AA7" i="2"/>
  <c r="G8" i="2"/>
  <c r="I8" i="2" s="1"/>
  <c r="P8" i="2"/>
  <c r="R8" i="2"/>
  <c r="U8" i="2"/>
  <c r="V8" i="2" s="1"/>
  <c r="W8" i="2"/>
  <c r="AA8" i="2"/>
  <c r="G9" i="2"/>
  <c r="J9" i="2" s="1"/>
  <c r="P9" i="2"/>
  <c r="R9" i="2"/>
  <c r="U9" i="2"/>
  <c r="W9" i="2"/>
  <c r="AA9" i="2"/>
  <c r="G10" i="2"/>
  <c r="P10" i="2"/>
  <c r="R10" i="2"/>
  <c r="U10" i="2"/>
  <c r="V10" i="2" s="1"/>
  <c r="W10" i="2"/>
  <c r="AA10" i="2"/>
  <c r="G11" i="2"/>
  <c r="J11" i="2" s="1"/>
  <c r="X11" i="2" s="1"/>
  <c r="P11" i="2"/>
  <c r="R11" i="2"/>
  <c r="U11" i="2"/>
  <c r="V11" i="2" s="1"/>
  <c r="W11" i="2"/>
  <c r="AA11" i="2"/>
  <c r="G12" i="2"/>
  <c r="I12" i="2" s="1"/>
  <c r="P12" i="2"/>
  <c r="R12" i="2"/>
  <c r="U12" i="2"/>
  <c r="V12" i="2" s="1"/>
  <c r="W12" i="2"/>
  <c r="AA12" i="2"/>
  <c r="G13" i="2"/>
  <c r="I13" i="2" s="1"/>
  <c r="P13" i="2"/>
  <c r="R13" i="2"/>
  <c r="U13" i="2"/>
  <c r="V13" i="2" s="1"/>
  <c r="W13" i="2"/>
  <c r="AA13" i="2"/>
  <c r="G14" i="2"/>
  <c r="I14" i="2" s="1"/>
  <c r="P14" i="2"/>
  <c r="R14" i="2"/>
  <c r="U14" i="2"/>
  <c r="V14" i="2" s="1"/>
  <c r="W14" i="2"/>
  <c r="AA14" i="2"/>
  <c r="G15" i="2"/>
  <c r="I15" i="2" s="1"/>
  <c r="P15" i="2"/>
  <c r="R15" i="2"/>
  <c r="U15" i="2"/>
  <c r="V15" i="2" s="1"/>
  <c r="W15" i="2"/>
  <c r="AA15" i="2"/>
  <c r="G16" i="2"/>
  <c r="J16" i="2" s="1"/>
  <c r="P16" i="2"/>
  <c r="R16" i="2"/>
  <c r="U16" i="2"/>
  <c r="W16" i="2"/>
  <c r="AA16" i="2"/>
  <c r="G17" i="2"/>
  <c r="J17" i="2" s="1"/>
  <c r="P17" i="2"/>
  <c r="R17" i="2"/>
  <c r="U17" i="2"/>
  <c r="W17" i="2"/>
  <c r="AA17" i="2"/>
  <c r="G18" i="2"/>
  <c r="P18" i="2"/>
  <c r="R18" i="2"/>
  <c r="U18" i="2"/>
  <c r="V18" i="2" s="1"/>
  <c r="W18" i="2"/>
  <c r="AA18" i="2"/>
  <c r="G19" i="2"/>
  <c r="J19" i="2" s="1"/>
  <c r="X19" i="2" s="1"/>
  <c r="P19" i="2"/>
  <c r="R19" i="2"/>
  <c r="U19" i="2"/>
  <c r="V19" i="2" s="1"/>
  <c r="W19" i="2"/>
  <c r="AA19" i="2"/>
  <c r="G20" i="2"/>
  <c r="I20" i="2" s="1"/>
  <c r="P20" i="2"/>
  <c r="R20" i="2"/>
  <c r="U20" i="2"/>
  <c r="V20" i="2" s="1"/>
  <c r="W20" i="2"/>
  <c r="AA20" i="2"/>
  <c r="G21" i="2"/>
  <c r="I21" i="2" s="1"/>
  <c r="P21" i="2"/>
  <c r="R21" i="2"/>
  <c r="U21" i="2"/>
  <c r="V21" i="2" s="1"/>
  <c r="W21" i="2"/>
  <c r="AA21" i="2"/>
  <c r="G22" i="2"/>
  <c r="I22" i="2" s="1"/>
  <c r="P22" i="2"/>
  <c r="R22" i="2"/>
  <c r="U22" i="2"/>
  <c r="V22" i="2" s="1"/>
  <c r="W22" i="2"/>
  <c r="AA22" i="2"/>
  <c r="G23" i="2"/>
  <c r="I23" i="2" s="1"/>
  <c r="P23" i="2"/>
  <c r="R23" i="2"/>
  <c r="U23" i="2"/>
  <c r="W23" i="2"/>
  <c r="AA23" i="2"/>
  <c r="G24" i="2"/>
  <c r="I24" i="2" s="1"/>
  <c r="P24" i="2"/>
  <c r="R24" i="2"/>
  <c r="U24" i="2"/>
  <c r="V24" i="2" s="1"/>
  <c r="W24" i="2"/>
  <c r="AA24" i="2"/>
  <c r="G25" i="2"/>
  <c r="J25" i="2" s="1"/>
  <c r="P25" i="2"/>
  <c r="R25" i="2"/>
  <c r="U25" i="2"/>
  <c r="W25" i="2"/>
  <c r="AA25" i="2"/>
  <c r="G26" i="2"/>
  <c r="P26" i="2"/>
  <c r="R26" i="2"/>
  <c r="U26" i="2"/>
  <c r="V26" i="2" s="1"/>
  <c r="W26" i="2"/>
  <c r="AA26" i="2"/>
  <c r="G27" i="2"/>
  <c r="J27" i="2" s="1"/>
  <c r="X27" i="2" s="1"/>
  <c r="P27" i="2"/>
  <c r="R27" i="2"/>
  <c r="U27" i="2"/>
  <c r="V27" i="2" s="1"/>
  <c r="W27" i="2"/>
  <c r="AA27" i="2"/>
  <c r="G28" i="2"/>
  <c r="I28" i="2" s="1"/>
  <c r="P28" i="2"/>
  <c r="R28" i="2"/>
  <c r="U28" i="2"/>
  <c r="V28" i="2" s="1"/>
  <c r="W28" i="2"/>
  <c r="AA28" i="2"/>
  <c r="G29" i="2"/>
  <c r="J29" i="2" s="1"/>
  <c r="P29" i="2"/>
  <c r="R29" i="2"/>
  <c r="U29" i="2"/>
  <c r="V29" i="2" s="1"/>
  <c r="W29" i="2"/>
  <c r="AA29" i="2"/>
  <c r="G30" i="2"/>
  <c r="Y30" i="2" s="1"/>
  <c r="P30" i="2"/>
  <c r="R30" i="2"/>
  <c r="U30" i="2"/>
  <c r="V30" i="2" s="1"/>
  <c r="W30" i="2"/>
  <c r="AA30" i="2"/>
  <c r="G31" i="2"/>
  <c r="I31" i="2" s="1"/>
  <c r="P31" i="2"/>
  <c r="R31" i="2"/>
  <c r="U31" i="2"/>
  <c r="W31" i="2"/>
  <c r="AA31" i="2"/>
  <c r="G32" i="2"/>
  <c r="I32" i="2" s="1"/>
  <c r="P32" i="2"/>
  <c r="R32" i="2"/>
  <c r="U32" i="2"/>
  <c r="V32" i="2" s="1"/>
  <c r="W32" i="2"/>
  <c r="AA32" i="2"/>
  <c r="G33" i="2"/>
  <c r="Y33" i="2" s="1"/>
  <c r="P33" i="2"/>
  <c r="R33" i="2"/>
  <c r="U33" i="2"/>
  <c r="W33" i="2"/>
  <c r="AA33" i="2"/>
  <c r="G34" i="2"/>
  <c r="P34" i="2"/>
  <c r="R34" i="2"/>
  <c r="U34" i="2"/>
  <c r="V34" i="2" s="1"/>
  <c r="W34" i="2"/>
  <c r="AA34" i="2"/>
  <c r="G35" i="2"/>
  <c r="I35" i="2" s="1"/>
  <c r="P35" i="2"/>
  <c r="R35" i="2"/>
  <c r="U35" i="2"/>
  <c r="V35" i="2" s="1"/>
  <c r="W35" i="2"/>
  <c r="AA35" i="2"/>
  <c r="G36" i="2"/>
  <c r="I36" i="2" s="1"/>
  <c r="P36" i="2"/>
  <c r="R36" i="2"/>
  <c r="U36" i="2"/>
  <c r="V36" i="2" s="1"/>
  <c r="W36" i="2"/>
  <c r="AA36" i="2"/>
  <c r="G37" i="2"/>
  <c r="J37" i="2" s="1"/>
  <c r="P37" i="2"/>
  <c r="R37" i="2"/>
  <c r="U37" i="2"/>
  <c r="V37" i="2" s="1"/>
  <c r="W37" i="2"/>
  <c r="AA37" i="2"/>
  <c r="G38" i="2"/>
  <c r="I38" i="2" s="1"/>
  <c r="P38" i="2"/>
  <c r="R38" i="2"/>
  <c r="U38" i="2"/>
  <c r="V38" i="2" s="1"/>
  <c r="W38" i="2"/>
  <c r="AA38" i="2"/>
  <c r="G39" i="2"/>
  <c r="I39" i="2" s="1"/>
  <c r="P39" i="2"/>
  <c r="R39" i="2"/>
  <c r="U39" i="2"/>
  <c r="V39" i="2" s="1"/>
  <c r="W39" i="2"/>
  <c r="AA39" i="2"/>
  <c r="G40" i="2"/>
  <c r="I40" i="2" s="1"/>
  <c r="P40" i="2"/>
  <c r="R40" i="2"/>
  <c r="U40" i="2"/>
  <c r="V40" i="2" s="1"/>
  <c r="W40" i="2"/>
  <c r="AA40" i="2"/>
  <c r="G41" i="2"/>
  <c r="Y41" i="2" s="1"/>
  <c r="P41" i="2"/>
  <c r="R41" i="2"/>
  <c r="U41" i="2"/>
  <c r="W41" i="2"/>
  <c r="AA41" i="2"/>
  <c r="G42" i="2"/>
  <c r="P42" i="2"/>
  <c r="R42" i="2"/>
  <c r="U42" i="2"/>
  <c r="V42" i="2" s="1"/>
  <c r="W42" i="2"/>
  <c r="AA42" i="2"/>
  <c r="G43" i="2"/>
  <c r="P43" i="2"/>
  <c r="R43" i="2"/>
  <c r="U43" i="2"/>
  <c r="V43" i="2" s="1"/>
  <c r="W43" i="2"/>
  <c r="AA43" i="2"/>
  <c r="G44" i="2"/>
  <c r="I44" i="2" s="1"/>
  <c r="P44" i="2"/>
  <c r="R44" i="2"/>
  <c r="U44" i="2"/>
  <c r="V44" i="2" s="1"/>
  <c r="W44" i="2"/>
  <c r="AA44" i="2"/>
  <c r="G45" i="2"/>
  <c r="J45" i="2" s="1"/>
  <c r="P45" i="2"/>
  <c r="R45" i="2"/>
  <c r="U45" i="2"/>
  <c r="V45" i="2" s="1"/>
  <c r="W45" i="2"/>
  <c r="AA45" i="2"/>
  <c r="G46" i="2"/>
  <c r="I46" i="2" s="1"/>
  <c r="P46" i="2"/>
  <c r="R46" i="2"/>
  <c r="U46" i="2"/>
  <c r="V46" i="2" s="1"/>
  <c r="W46" i="2"/>
  <c r="AA46" i="2"/>
  <c r="G47" i="2"/>
  <c r="I47" i="2" s="1"/>
  <c r="P47" i="2"/>
  <c r="R47" i="2"/>
  <c r="U47" i="2"/>
  <c r="V47" i="2" s="1"/>
  <c r="W47" i="2"/>
  <c r="AA47" i="2"/>
  <c r="G48" i="2"/>
  <c r="I48" i="2" s="1"/>
  <c r="P48" i="2"/>
  <c r="R48" i="2"/>
  <c r="U48" i="2"/>
  <c r="V48" i="2" s="1"/>
  <c r="W48" i="2"/>
  <c r="AA48" i="2"/>
  <c r="G49" i="2"/>
  <c r="J49" i="2" s="1"/>
  <c r="P49" i="2"/>
  <c r="R49" i="2"/>
  <c r="U49" i="2"/>
  <c r="W49" i="2"/>
  <c r="AA49" i="2"/>
  <c r="G50" i="2"/>
  <c r="I50" i="2" s="1"/>
  <c r="P50" i="2"/>
  <c r="R50" i="2"/>
  <c r="U50" i="2"/>
  <c r="W50" i="2"/>
  <c r="AA50" i="2"/>
  <c r="G51" i="2"/>
  <c r="P51" i="2"/>
  <c r="R51" i="2"/>
  <c r="U51" i="2"/>
  <c r="V51" i="2" s="1"/>
  <c r="W51" i="2"/>
  <c r="AA51" i="2"/>
  <c r="G52" i="2"/>
  <c r="I52" i="2" s="1"/>
  <c r="P52" i="2"/>
  <c r="R52" i="2"/>
  <c r="U52" i="2"/>
  <c r="W52" i="2"/>
  <c r="AA52" i="2"/>
  <c r="G53" i="2"/>
  <c r="J53" i="2" s="1"/>
  <c r="X53" i="2" s="1"/>
  <c r="P53" i="2"/>
  <c r="R53" i="2"/>
  <c r="U53" i="2"/>
  <c r="W53" i="2"/>
  <c r="AA53" i="2"/>
  <c r="G54" i="2"/>
  <c r="Y54" i="2" s="1"/>
  <c r="P54" i="2"/>
  <c r="R54" i="2"/>
  <c r="U54" i="2"/>
  <c r="V54" i="2" s="1"/>
  <c r="W54" i="2"/>
  <c r="AA54" i="2"/>
  <c r="G55" i="2"/>
  <c r="I55" i="2" s="1"/>
  <c r="P55" i="2"/>
  <c r="R55" i="2"/>
  <c r="U55" i="2"/>
  <c r="W55" i="2"/>
  <c r="AA55" i="2"/>
  <c r="G56" i="2"/>
  <c r="J56" i="2" s="1"/>
  <c r="P56" i="2"/>
  <c r="R56" i="2"/>
  <c r="U56" i="2"/>
  <c r="V56" i="2" s="1"/>
  <c r="W56" i="2"/>
  <c r="AA56" i="2"/>
  <c r="G57" i="2"/>
  <c r="J57" i="2" s="1"/>
  <c r="P57" i="2"/>
  <c r="R57" i="2"/>
  <c r="U57" i="2"/>
  <c r="V57" i="2" s="1"/>
  <c r="W57" i="2"/>
  <c r="AA57" i="2"/>
  <c r="G58" i="2"/>
  <c r="Y58" i="2" s="1"/>
  <c r="P58" i="2"/>
  <c r="R58" i="2"/>
  <c r="U58" i="2"/>
  <c r="V58" i="2" s="1"/>
  <c r="W58" i="2"/>
  <c r="AA58" i="2"/>
  <c r="G59" i="2"/>
  <c r="I59" i="2" s="1"/>
  <c r="P59" i="2"/>
  <c r="R59" i="2"/>
  <c r="U59" i="2"/>
  <c r="V59" i="2" s="1"/>
  <c r="W59" i="2"/>
  <c r="AA59" i="2"/>
  <c r="G60" i="2"/>
  <c r="I60" i="2" s="1"/>
  <c r="P60" i="2"/>
  <c r="R60" i="2"/>
  <c r="U60" i="2"/>
  <c r="W60" i="2"/>
  <c r="AA60" i="2"/>
  <c r="G61" i="2"/>
  <c r="J61" i="2" s="1"/>
  <c r="X61" i="2" s="1"/>
  <c r="P61" i="2"/>
  <c r="R61" i="2"/>
  <c r="U61" i="2"/>
  <c r="W61" i="2"/>
  <c r="AA61" i="2"/>
  <c r="G62" i="2"/>
  <c r="Y62" i="2" s="1"/>
  <c r="P62" i="2"/>
  <c r="R62" i="2"/>
  <c r="U62" i="2"/>
  <c r="V62" i="2" s="1"/>
  <c r="W62" i="2"/>
  <c r="AA62" i="2"/>
  <c r="G63" i="2"/>
  <c r="I63" i="2" s="1"/>
  <c r="P63" i="2"/>
  <c r="R63" i="2"/>
  <c r="U63" i="2"/>
  <c r="V63" i="2" s="1"/>
  <c r="W63" i="2"/>
  <c r="AA63" i="2"/>
  <c r="G64" i="2"/>
  <c r="Y64" i="2" s="1"/>
  <c r="P64" i="2"/>
  <c r="R64" i="2"/>
  <c r="U64" i="2"/>
  <c r="V64" i="2" s="1"/>
  <c r="W64" i="2"/>
  <c r="AA64" i="2"/>
  <c r="G65" i="2"/>
  <c r="I65" i="2" s="1"/>
  <c r="P65" i="2"/>
  <c r="R65" i="2"/>
  <c r="U65" i="2"/>
  <c r="V65" i="2" s="1"/>
  <c r="W65" i="2"/>
  <c r="AA65" i="2"/>
  <c r="G66" i="2"/>
  <c r="Y66" i="2" s="1"/>
  <c r="P66" i="2"/>
  <c r="R66" i="2"/>
  <c r="U66" i="2"/>
  <c r="W66" i="2"/>
  <c r="AA66" i="2"/>
  <c r="G67" i="2"/>
  <c r="J67" i="2" s="1"/>
  <c r="P67" i="2"/>
  <c r="R67" i="2"/>
  <c r="U67" i="2"/>
  <c r="W67" i="2"/>
  <c r="AA67" i="2"/>
  <c r="G68" i="2"/>
  <c r="J68" i="2" s="1"/>
  <c r="X68" i="2" s="1"/>
  <c r="P68" i="2"/>
  <c r="R68" i="2"/>
  <c r="U68" i="2"/>
  <c r="W68" i="2"/>
  <c r="AA68" i="2"/>
  <c r="G69" i="2"/>
  <c r="J69" i="2" s="1"/>
  <c r="P69" i="2"/>
  <c r="R69" i="2"/>
  <c r="U69" i="2"/>
  <c r="V69" i="2" s="1"/>
  <c r="W69" i="2"/>
  <c r="AA69" i="2"/>
  <c r="G70" i="2"/>
  <c r="I70" i="2" s="1"/>
  <c r="P70" i="2"/>
  <c r="R70" i="2"/>
  <c r="U70" i="2"/>
  <c r="V70" i="2" s="1"/>
  <c r="W70" i="2"/>
  <c r="AA70" i="2"/>
  <c r="G71" i="2"/>
  <c r="I71" i="2" s="1"/>
  <c r="P71" i="2"/>
  <c r="R71" i="2"/>
  <c r="U71" i="2"/>
  <c r="V71" i="2" s="1"/>
  <c r="W71" i="2"/>
  <c r="AA71" i="2"/>
  <c r="G72" i="2"/>
  <c r="J72" i="2" s="1"/>
  <c r="S72" i="2" s="1"/>
  <c r="P72" i="2"/>
  <c r="R72" i="2"/>
  <c r="U72" i="2"/>
  <c r="V72" i="2" s="1"/>
  <c r="W72" i="2"/>
  <c r="AA72" i="2"/>
  <c r="G73" i="2"/>
  <c r="I73" i="2" s="1"/>
  <c r="P73" i="2"/>
  <c r="R73" i="2"/>
  <c r="U73" i="2"/>
  <c r="V73" i="2" s="1"/>
  <c r="W73" i="2"/>
  <c r="AA73" i="2"/>
  <c r="G74" i="2"/>
  <c r="Y74" i="2" s="1"/>
  <c r="P74" i="2"/>
  <c r="R74" i="2"/>
  <c r="U74" i="2"/>
  <c r="W74" i="2"/>
  <c r="AA74" i="2"/>
  <c r="G75" i="2"/>
  <c r="J75" i="2" s="1"/>
  <c r="P75" i="2"/>
  <c r="R75" i="2"/>
  <c r="U75" i="2"/>
  <c r="V75" i="2" s="1"/>
  <c r="W75" i="2"/>
  <c r="AA75" i="2"/>
  <c r="G76" i="2"/>
  <c r="J76" i="2" s="1"/>
  <c r="X76" i="2" s="1"/>
  <c r="P76" i="2"/>
  <c r="R76" i="2"/>
  <c r="U76" i="2"/>
  <c r="V76" i="2" s="1"/>
  <c r="W76" i="2"/>
  <c r="AA76" i="2"/>
  <c r="G77" i="2"/>
  <c r="J77" i="2" s="1"/>
  <c r="P77" i="2"/>
  <c r="R77" i="2"/>
  <c r="U77" i="2"/>
  <c r="V77" i="2" s="1"/>
  <c r="W77" i="2"/>
  <c r="AA77" i="2"/>
  <c r="G78" i="2"/>
  <c r="I78" i="2" s="1"/>
  <c r="P78" i="2"/>
  <c r="R78" i="2"/>
  <c r="U78" i="2"/>
  <c r="V78" i="2" s="1"/>
  <c r="W78" i="2"/>
  <c r="AA78" i="2"/>
  <c r="G79" i="2"/>
  <c r="I79" i="2" s="1"/>
  <c r="P79" i="2"/>
  <c r="R79" i="2"/>
  <c r="U79" i="2"/>
  <c r="W79" i="2"/>
  <c r="AA79" i="2"/>
  <c r="G80" i="2"/>
  <c r="Y80" i="2" s="1"/>
  <c r="P80" i="2"/>
  <c r="R80" i="2"/>
  <c r="U80" i="2"/>
  <c r="V80" i="2" s="1"/>
  <c r="W80" i="2"/>
  <c r="AA80" i="2"/>
  <c r="G81" i="2"/>
  <c r="I81" i="2" s="1"/>
  <c r="P81" i="2"/>
  <c r="R81" i="2"/>
  <c r="U81" i="2"/>
  <c r="V81" i="2" s="1"/>
  <c r="W81" i="2"/>
  <c r="AA81" i="2"/>
  <c r="G82" i="2"/>
  <c r="Y82" i="2" s="1"/>
  <c r="P82" i="2"/>
  <c r="R82" i="2"/>
  <c r="U82" i="2"/>
  <c r="W82" i="2"/>
  <c r="AA82" i="2"/>
  <c r="G83" i="2"/>
  <c r="J83" i="2" s="1"/>
  <c r="P83" i="2"/>
  <c r="R83" i="2"/>
  <c r="U83" i="2"/>
  <c r="V83" i="2" s="1"/>
  <c r="W83" i="2"/>
  <c r="AA83" i="2"/>
  <c r="G84" i="2"/>
  <c r="I84" i="2" s="1"/>
  <c r="P84" i="2"/>
  <c r="R84" i="2"/>
  <c r="U84" i="2"/>
  <c r="V84" i="2" s="1"/>
  <c r="W84" i="2"/>
  <c r="AA84" i="2"/>
  <c r="G85" i="2"/>
  <c r="J85" i="2" s="1"/>
  <c r="P85" i="2"/>
  <c r="R85" i="2"/>
  <c r="U85" i="2"/>
  <c r="V85" i="2" s="1"/>
  <c r="W85" i="2"/>
  <c r="AA85" i="2"/>
  <c r="G86" i="2"/>
  <c r="I86" i="2" s="1"/>
  <c r="P86" i="2"/>
  <c r="R86" i="2"/>
  <c r="U86" i="2"/>
  <c r="V86" i="2" s="1"/>
  <c r="W86" i="2"/>
  <c r="AA86" i="2"/>
  <c r="G87" i="2"/>
  <c r="I87" i="2" s="1"/>
  <c r="P87" i="2"/>
  <c r="R87" i="2"/>
  <c r="U87" i="2"/>
  <c r="V87" i="2" s="1"/>
  <c r="W87" i="2"/>
  <c r="AA87" i="2"/>
  <c r="G88" i="2"/>
  <c r="Y88" i="2" s="1"/>
  <c r="P88" i="2"/>
  <c r="R88" i="2"/>
  <c r="U88" i="2"/>
  <c r="V88" i="2" s="1"/>
  <c r="W88" i="2"/>
  <c r="AA88" i="2"/>
  <c r="G89" i="2"/>
  <c r="I89" i="2" s="1"/>
  <c r="P89" i="2"/>
  <c r="R89" i="2"/>
  <c r="U89" i="2"/>
  <c r="V89" i="2" s="1"/>
  <c r="W89" i="2"/>
  <c r="AA89" i="2"/>
  <c r="G90" i="2"/>
  <c r="Y90" i="2" s="1"/>
  <c r="P90" i="2"/>
  <c r="R90" i="2"/>
  <c r="U90" i="2"/>
  <c r="W90" i="2"/>
  <c r="AA90" i="2"/>
  <c r="G91" i="2"/>
  <c r="J91" i="2" s="1"/>
  <c r="P91" i="2"/>
  <c r="R91" i="2"/>
  <c r="U91" i="2"/>
  <c r="W91" i="2"/>
  <c r="AA91" i="2"/>
  <c r="G92" i="2"/>
  <c r="Y92" i="2" s="1"/>
  <c r="P92" i="2"/>
  <c r="R92" i="2"/>
  <c r="U92" i="2"/>
  <c r="W92" i="2"/>
  <c r="AA92" i="2"/>
  <c r="G93" i="2"/>
  <c r="J93" i="2" s="1"/>
  <c r="P93" i="2"/>
  <c r="R93" i="2"/>
  <c r="U93" i="2"/>
  <c r="V93" i="2" s="1"/>
  <c r="W93" i="2"/>
  <c r="AA93" i="2"/>
  <c r="G94" i="2"/>
  <c r="I94" i="2" s="1"/>
  <c r="P94" i="2"/>
  <c r="R94" i="2"/>
  <c r="U94" i="2"/>
  <c r="V94" i="2" s="1"/>
  <c r="W94" i="2"/>
  <c r="AA94" i="2"/>
  <c r="G95" i="2"/>
  <c r="I95" i="2" s="1"/>
  <c r="P95" i="2"/>
  <c r="R95" i="2"/>
  <c r="U95" i="2"/>
  <c r="V95" i="2" s="1"/>
  <c r="W95" i="2"/>
  <c r="AA95" i="2"/>
  <c r="G96" i="2"/>
  <c r="I96" i="2" s="1"/>
  <c r="P96" i="2"/>
  <c r="R96" i="2"/>
  <c r="U96" i="2"/>
  <c r="V96" i="2" s="1"/>
  <c r="W96" i="2"/>
  <c r="AA96" i="2"/>
  <c r="G97" i="2"/>
  <c r="I97" i="2" s="1"/>
  <c r="P97" i="2"/>
  <c r="R97" i="2"/>
  <c r="U97" i="2"/>
  <c r="V97" i="2" s="1"/>
  <c r="W97" i="2"/>
  <c r="AA97" i="2"/>
  <c r="G98" i="2"/>
  <c r="Y98" i="2" s="1"/>
  <c r="P98" i="2"/>
  <c r="R98" i="2"/>
  <c r="U98" i="2"/>
  <c r="W98" i="2"/>
  <c r="AA98" i="2"/>
  <c r="G99" i="2"/>
  <c r="J99" i="2" s="1"/>
  <c r="P99" i="2"/>
  <c r="R99" i="2"/>
  <c r="U99" i="2"/>
  <c r="V99" i="2" s="1"/>
  <c r="W99" i="2"/>
  <c r="AA99" i="2"/>
  <c r="G100" i="2"/>
  <c r="I100" i="2" s="1"/>
  <c r="P100" i="2"/>
  <c r="R100" i="2"/>
  <c r="U100" i="2"/>
  <c r="V100" i="2" s="1"/>
  <c r="W100" i="2"/>
  <c r="AA100"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3" i="2"/>
  <c r="L91" i="2" l="1"/>
  <c r="Q91" i="2" s="1"/>
  <c r="Y7" i="2"/>
  <c r="L23" i="2"/>
  <c r="I37" i="2"/>
  <c r="Y22" i="2"/>
  <c r="Y5" i="2"/>
  <c r="Y23" i="2"/>
  <c r="Y46" i="2"/>
  <c r="V91" i="2"/>
  <c r="J92" i="2"/>
  <c r="X92" i="2" s="1"/>
  <c r="L92" i="2"/>
  <c r="I92" i="2"/>
  <c r="L68" i="2"/>
  <c r="L62" i="2"/>
  <c r="Q62" i="2" s="1"/>
  <c r="L55" i="2"/>
  <c r="Z55" i="2" s="1"/>
  <c r="I27" i="2"/>
  <c r="Y24" i="2"/>
  <c r="Y8" i="2"/>
  <c r="S53" i="2"/>
  <c r="T53" i="2" s="1"/>
  <c r="Y32" i="2"/>
  <c r="L16" i="2"/>
  <c r="I76" i="2"/>
  <c r="Y31" i="2"/>
  <c r="Y85" i="2"/>
  <c r="Y84" i="2"/>
  <c r="T72" i="2"/>
  <c r="L32" i="2"/>
  <c r="J95" i="2"/>
  <c r="J88" i="2"/>
  <c r="S88" i="2" s="1"/>
  <c r="T88" i="2" s="1"/>
  <c r="Y76" i="2"/>
  <c r="Y61" i="2"/>
  <c r="L60" i="2"/>
  <c r="Q60" i="2" s="1"/>
  <c r="L31" i="2"/>
  <c r="I16" i="2"/>
  <c r="L90" i="2"/>
  <c r="Z90" i="2" s="1"/>
  <c r="AB90" i="2" s="1"/>
  <c r="L67" i="2"/>
  <c r="Q67" i="2" s="1"/>
  <c r="L52" i="2"/>
  <c r="Q52" i="2" s="1"/>
  <c r="J32" i="2"/>
  <c r="S32" i="2" s="1"/>
  <c r="T32" i="2" s="1"/>
  <c r="L30" i="2"/>
  <c r="Q30" i="2" s="1"/>
  <c r="Y16" i="2"/>
  <c r="J60" i="2"/>
  <c r="X60" i="2" s="1"/>
  <c r="J31" i="2"/>
  <c r="X31" i="2" s="1"/>
  <c r="I19" i="2"/>
  <c r="I98" i="2"/>
  <c r="I85" i="2"/>
  <c r="V16" i="2"/>
  <c r="Y6" i="2"/>
  <c r="L99" i="2"/>
  <c r="Q99" i="2" s="1"/>
  <c r="I72" i="2"/>
  <c r="V67" i="2"/>
  <c r="L66" i="2"/>
  <c r="I64" i="2"/>
  <c r="S61" i="2"/>
  <c r="T61" i="2" s="1"/>
  <c r="I56" i="2"/>
  <c r="Y53" i="2"/>
  <c r="I49" i="2"/>
  <c r="J48" i="2"/>
  <c r="I29" i="2"/>
  <c r="L24" i="2"/>
  <c r="Y57" i="2"/>
  <c r="Y56" i="2"/>
  <c r="Y49" i="2"/>
  <c r="L14" i="2"/>
  <c r="Q14" i="2" s="1"/>
  <c r="L7" i="2"/>
  <c r="Q7" i="2" s="1"/>
  <c r="I88" i="2"/>
  <c r="L79" i="2"/>
  <c r="Z79" i="2" s="1"/>
  <c r="Y72" i="2"/>
  <c r="Y63" i="2"/>
  <c r="I61" i="2"/>
  <c r="J24" i="2"/>
  <c r="X24" i="2" s="1"/>
  <c r="S11" i="2"/>
  <c r="T11" i="2" s="1"/>
  <c r="J7" i="2"/>
  <c r="S7" i="2" s="1"/>
  <c r="T7" i="2" s="1"/>
  <c r="Y97" i="2"/>
  <c r="I93" i="2"/>
  <c r="I90" i="2"/>
  <c r="I77" i="2"/>
  <c r="L75" i="2"/>
  <c r="Q75" i="2" s="1"/>
  <c r="I69" i="2"/>
  <c r="I68" i="2"/>
  <c r="V55" i="2"/>
  <c r="L49" i="2"/>
  <c r="J41" i="2"/>
  <c r="X41" i="2" s="1"/>
  <c r="J23" i="2"/>
  <c r="X23" i="2" s="1"/>
  <c r="Y4" i="2"/>
  <c r="L48" i="2"/>
  <c r="Q48" i="2" s="1"/>
  <c r="L98" i="2"/>
  <c r="Q98" i="2" s="1"/>
  <c r="J79" i="2"/>
  <c r="X79" i="2" s="1"/>
  <c r="L63" i="2"/>
  <c r="Q63" i="2" s="1"/>
  <c r="Y21" i="2"/>
  <c r="I11" i="2"/>
  <c r="L97" i="2"/>
  <c r="Q97" i="2" s="1"/>
  <c r="Y77" i="2"/>
  <c r="Y69" i="2"/>
  <c r="Y68" i="2"/>
  <c r="L56" i="2"/>
  <c r="S56" i="2"/>
  <c r="T56" i="2" s="1"/>
  <c r="X56" i="2"/>
  <c r="Y96" i="2"/>
  <c r="L95" i="2"/>
  <c r="L84" i="2"/>
  <c r="Q84" i="2" s="1"/>
  <c r="L82" i="2"/>
  <c r="Q82" i="2" s="1"/>
  <c r="L71" i="2"/>
  <c r="Z71" i="2" s="1"/>
  <c r="I66" i="2"/>
  <c r="J64" i="2"/>
  <c r="S64" i="2" s="1"/>
  <c r="T64" i="2" s="1"/>
  <c r="I53" i="2"/>
  <c r="Y48" i="2"/>
  <c r="I41" i="2"/>
  <c r="L38" i="2"/>
  <c r="L22" i="2"/>
  <c r="L8" i="2"/>
  <c r="Q8" i="2" s="1"/>
  <c r="Y100" i="2"/>
  <c r="Y15" i="2"/>
  <c r="L81" i="2"/>
  <c r="Q81" i="2" s="1"/>
  <c r="V79" i="2"/>
  <c r="Y73" i="2"/>
  <c r="J71" i="2"/>
  <c r="L44" i="2"/>
  <c r="L40" i="2"/>
  <c r="Q40" i="2" s="1"/>
  <c r="L10" i="2"/>
  <c r="Q10" i="2" s="1"/>
  <c r="L6" i="2"/>
  <c r="L100" i="2"/>
  <c r="Q100" i="2" s="1"/>
  <c r="Y93" i="2"/>
  <c r="J40" i="2"/>
  <c r="S40" i="2" s="1"/>
  <c r="T40" i="2" s="1"/>
  <c r="Y38" i="2"/>
  <c r="J33" i="2"/>
  <c r="X33" i="2" s="1"/>
  <c r="V31" i="2"/>
  <c r="Y29" i="2"/>
  <c r="L26" i="2"/>
  <c r="Q26" i="2" s="1"/>
  <c r="V23" i="2"/>
  <c r="I17" i="2"/>
  <c r="Y14" i="2"/>
  <c r="Y13" i="2"/>
  <c r="I9" i="2"/>
  <c r="Y89" i="2"/>
  <c r="L87" i="2"/>
  <c r="J84" i="2"/>
  <c r="X84" i="2" s="1"/>
  <c r="I82" i="2"/>
  <c r="J80" i="2"/>
  <c r="S80" i="2" s="1"/>
  <c r="T80" i="2" s="1"/>
  <c r="L76" i="2"/>
  <c r="Q76" i="2" s="1"/>
  <c r="L74" i="2"/>
  <c r="Z74" i="2" s="1"/>
  <c r="AB74" i="2" s="1"/>
  <c r="Y65" i="2"/>
  <c r="V60" i="2"/>
  <c r="Y47" i="2"/>
  <c r="L47" i="2"/>
  <c r="Z47" i="2" s="1"/>
  <c r="I45" i="2"/>
  <c r="Y40" i="2"/>
  <c r="Y37" i="2"/>
  <c r="I33" i="2"/>
  <c r="I25" i="2"/>
  <c r="J8" i="2"/>
  <c r="X8" i="2" s="1"/>
  <c r="V92" i="2"/>
  <c r="J87" i="2"/>
  <c r="L83" i="2"/>
  <c r="Q83" i="2" s="1"/>
  <c r="I80" i="2"/>
  <c r="L73" i="2"/>
  <c r="Q73" i="2" s="1"/>
  <c r="V68" i="2"/>
  <c r="J63" i="2"/>
  <c r="S63" i="2" s="1"/>
  <c r="T63" i="2" s="1"/>
  <c r="L57" i="2"/>
  <c r="Z57" i="2" s="1"/>
  <c r="Y55" i="2"/>
  <c r="AB55" i="2" s="1"/>
  <c r="J55" i="2"/>
  <c r="V52" i="2"/>
  <c r="J47" i="2"/>
  <c r="L28" i="2"/>
  <c r="Q28" i="2" s="1"/>
  <c r="J96" i="2"/>
  <c r="S96" i="2" s="1"/>
  <c r="T96" i="2" s="1"/>
  <c r="L39" i="2"/>
  <c r="L36" i="2"/>
  <c r="Q36" i="2" s="1"/>
  <c r="L15" i="2"/>
  <c r="Q15" i="2" s="1"/>
  <c r="J100" i="2"/>
  <c r="X100" i="2" s="1"/>
  <c r="L89" i="2"/>
  <c r="Q89" i="2" s="1"/>
  <c r="Y81" i="2"/>
  <c r="I74" i="2"/>
  <c r="L65" i="2"/>
  <c r="Q65" i="2" s="1"/>
  <c r="L54" i="2"/>
  <c r="Y45" i="2"/>
  <c r="Y39" i="2"/>
  <c r="J39" i="2"/>
  <c r="J15" i="2"/>
  <c r="X15" i="2" s="1"/>
  <c r="Q90" i="2"/>
  <c r="X83" i="2"/>
  <c r="S83" i="2"/>
  <c r="T83" i="2" s="1"/>
  <c r="X77" i="2"/>
  <c r="S77" i="2"/>
  <c r="T77" i="2" s="1"/>
  <c r="X99" i="2"/>
  <c r="S99" i="2"/>
  <c r="T99" i="2" s="1"/>
  <c r="Z82" i="2"/>
  <c r="AB82" i="2" s="1"/>
  <c r="X75" i="2"/>
  <c r="S75" i="2"/>
  <c r="T75" i="2" s="1"/>
  <c r="X69" i="2"/>
  <c r="S69" i="2"/>
  <c r="T69" i="2" s="1"/>
  <c r="Z81" i="2"/>
  <c r="Z98" i="2"/>
  <c r="AB98" i="2" s="1"/>
  <c r="X91" i="2"/>
  <c r="S91" i="2"/>
  <c r="T91" i="2" s="1"/>
  <c r="X67" i="2"/>
  <c r="S67" i="2"/>
  <c r="T67" i="2" s="1"/>
  <c r="X93" i="2"/>
  <c r="S93" i="2"/>
  <c r="T93" i="2" s="1"/>
  <c r="Z100" i="2"/>
  <c r="Z97" i="2"/>
  <c r="X85" i="2"/>
  <c r="S85" i="2"/>
  <c r="T85" i="2" s="1"/>
  <c r="Z76" i="2"/>
  <c r="Q92" i="2"/>
  <c r="Z92" i="2"/>
  <c r="AB92" i="2" s="1"/>
  <c r="Q68" i="2"/>
  <c r="Z68" i="2"/>
  <c r="Q66" i="2"/>
  <c r="Z66" i="2"/>
  <c r="AB66" i="2" s="1"/>
  <c r="X57" i="2"/>
  <c r="S57" i="2"/>
  <c r="T57" i="2" s="1"/>
  <c r="I99" i="2"/>
  <c r="V98" i="2"/>
  <c r="J98" i="2"/>
  <c r="Y95" i="2"/>
  <c r="I91" i="2"/>
  <c r="V90" i="2"/>
  <c r="J90" i="2"/>
  <c r="Y87" i="2"/>
  <c r="I83" i="2"/>
  <c r="V82" i="2"/>
  <c r="J82" i="2"/>
  <c r="X80" i="2"/>
  <c r="Y79" i="2"/>
  <c r="I75" i="2"/>
  <c r="V74" i="2"/>
  <c r="J74" i="2"/>
  <c r="X72" i="2"/>
  <c r="Y71" i="2"/>
  <c r="I67" i="2"/>
  <c r="V66" i="2"/>
  <c r="J66" i="2"/>
  <c r="L64" i="2"/>
  <c r="I62" i="2"/>
  <c r="J62" i="2"/>
  <c r="Y60" i="2"/>
  <c r="I57" i="2"/>
  <c r="I54" i="2"/>
  <c r="J54" i="2"/>
  <c r="J50" i="2"/>
  <c r="Y50" i="2"/>
  <c r="X49" i="2"/>
  <c r="S49" i="2"/>
  <c r="T49" i="2" s="1"/>
  <c r="X40" i="2"/>
  <c r="I34" i="2"/>
  <c r="J34" i="2"/>
  <c r="Y34" i="2"/>
  <c r="Q23" i="2"/>
  <c r="Z23" i="2"/>
  <c r="L18" i="2"/>
  <c r="Q16" i="2"/>
  <c r="Z16" i="2"/>
  <c r="X9" i="2"/>
  <c r="S9" i="2"/>
  <c r="T9" i="2" s="1"/>
  <c r="J97" i="2"/>
  <c r="L96" i="2"/>
  <c r="Y94" i="2"/>
  <c r="S92" i="2"/>
  <c r="T92" i="2" s="1"/>
  <c r="J89" i="2"/>
  <c r="L88" i="2"/>
  <c r="Y86" i="2"/>
  <c r="J81" i="2"/>
  <c r="L80" i="2"/>
  <c r="Y78" i="2"/>
  <c r="S76" i="2"/>
  <c r="T76" i="2" s="1"/>
  <c r="J73" i="2"/>
  <c r="L72" i="2"/>
  <c r="Y70" i="2"/>
  <c r="S68" i="2"/>
  <c r="T68" i="2" s="1"/>
  <c r="J65" i="2"/>
  <c r="J58" i="2"/>
  <c r="S37" i="2"/>
  <c r="T37" i="2" s="1"/>
  <c r="X37" i="2"/>
  <c r="I10" i="2"/>
  <c r="J10" i="2"/>
  <c r="Y10" i="2"/>
  <c r="I58" i="2"/>
  <c r="Z48" i="2"/>
  <c r="V41" i="2"/>
  <c r="L41" i="2"/>
  <c r="Q31" i="2"/>
  <c r="Z31" i="2"/>
  <c r="S27" i="2"/>
  <c r="T27" i="2" s="1"/>
  <c r="V25" i="2"/>
  <c r="L25" i="2"/>
  <c r="L94" i="2"/>
  <c r="Z91" i="2"/>
  <c r="L86" i="2"/>
  <c r="Z83" i="2"/>
  <c r="L78" i="2"/>
  <c r="L70" i="2"/>
  <c r="V50" i="2"/>
  <c r="L50" i="2"/>
  <c r="X48" i="2"/>
  <c r="S48" i="2"/>
  <c r="T48" i="2" s="1"/>
  <c r="Q39" i="2"/>
  <c r="Z39" i="2"/>
  <c r="V33" i="2"/>
  <c r="L33" i="2"/>
  <c r="Q24" i="2"/>
  <c r="Z24" i="2"/>
  <c r="AB24" i="2" s="1"/>
  <c r="X17" i="2"/>
  <c r="S17" i="2"/>
  <c r="T17" i="2" s="1"/>
  <c r="X16" i="2"/>
  <c r="S16" i="2"/>
  <c r="T16" i="2" s="1"/>
  <c r="Y99" i="2"/>
  <c r="J94" i="2"/>
  <c r="L93" i="2"/>
  <c r="Y91" i="2"/>
  <c r="J86" i="2"/>
  <c r="L85" i="2"/>
  <c r="Y83" i="2"/>
  <c r="J78" i="2"/>
  <c r="L77" i="2"/>
  <c r="Y75" i="2"/>
  <c r="J70" i="2"/>
  <c r="L69" i="2"/>
  <c r="Y67" i="2"/>
  <c r="L59" i="2"/>
  <c r="L58" i="2"/>
  <c r="V49" i="2"/>
  <c r="S45" i="2"/>
  <c r="T45" i="2" s="1"/>
  <c r="X45" i="2"/>
  <c r="I18" i="2"/>
  <c r="J18" i="2"/>
  <c r="Y18" i="2"/>
  <c r="V9" i="2"/>
  <c r="L9" i="2"/>
  <c r="S60" i="2"/>
  <c r="T60" i="2" s="1"/>
  <c r="Q49" i="2"/>
  <c r="Z49" i="2"/>
  <c r="AB49" i="2" s="1"/>
  <c r="Q32" i="2"/>
  <c r="Z32" i="2"/>
  <c r="V61" i="2"/>
  <c r="L61" i="2"/>
  <c r="J59" i="2"/>
  <c r="Y59" i="2"/>
  <c r="V53" i="2"/>
  <c r="L53" i="2"/>
  <c r="I43" i="2"/>
  <c r="J43" i="2"/>
  <c r="Y43" i="2"/>
  <c r="I42" i="2"/>
  <c r="J42" i="2"/>
  <c r="Y42" i="2"/>
  <c r="S29" i="2"/>
  <c r="T29" i="2" s="1"/>
  <c r="X29" i="2"/>
  <c r="X25" i="2"/>
  <c r="S25" i="2"/>
  <c r="T25" i="2" s="1"/>
  <c r="I51" i="2"/>
  <c r="J51" i="2"/>
  <c r="Y51" i="2"/>
  <c r="I26" i="2"/>
  <c r="J26" i="2"/>
  <c r="Y26" i="2"/>
  <c r="S19" i="2"/>
  <c r="T19" i="2" s="1"/>
  <c r="V17" i="2"/>
  <c r="L17" i="2"/>
  <c r="Y52" i="2"/>
  <c r="L46" i="2"/>
  <c r="Y44" i="2"/>
  <c r="Y36" i="2"/>
  <c r="Y28" i="2"/>
  <c r="Y20" i="2"/>
  <c r="Y12" i="2"/>
  <c r="J46" i="2"/>
  <c r="L45" i="2"/>
  <c r="J38" i="2"/>
  <c r="L37" i="2"/>
  <c r="Y35" i="2"/>
  <c r="J30" i="2"/>
  <c r="L29" i="2"/>
  <c r="Y27" i="2"/>
  <c r="J22" i="2"/>
  <c r="L21" i="2"/>
  <c r="Y19" i="2"/>
  <c r="J14" i="2"/>
  <c r="L13" i="2"/>
  <c r="Y11" i="2"/>
  <c r="J6" i="2"/>
  <c r="L5" i="2"/>
  <c r="Y3" i="2"/>
  <c r="I30" i="2"/>
  <c r="J21" i="2"/>
  <c r="L20" i="2"/>
  <c r="J13" i="2"/>
  <c r="L12" i="2"/>
  <c r="J5" i="2"/>
  <c r="L4" i="2"/>
  <c r="J52" i="2"/>
  <c r="L51" i="2"/>
  <c r="J44" i="2"/>
  <c r="L43" i="2"/>
  <c r="J36" i="2"/>
  <c r="L35" i="2"/>
  <c r="S31" i="2"/>
  <c r="T31" i="2" s="1"/>
  <c r="J28" i="2"/>
  <c r="L27" i="2"/>
  <c r="Y25" i="2"/>
  <c r="S23" i="2"/>
  <c r="T23" i="2" s="1"/>
  <c r="J20" i="2"/>
  <c r="L19" i="2"/>
  <c r="Y17" i="2"/>
  <c r="J12" i="2"/>
  <c r="L11" i="2"/>
  <c r="Y9" i="2"/>
  <c r="J4" i="2"/>
  <c r="L3" i="2"/>
  <c r="L42" i="2"/>
  <c r="J35" i="2"/>
  <c r="L34" i="2"/>
  <c r="J3" i="2"/>
  <c r="R4" i="7"/>
  <c r="P3" i="9"/>
  <c r="P5" i="9"/>
  <c r="U5" i="9"/>
  <c r="I2" i="9"/>
  <c r="M2" i="9"/>
  <c r="L3" i="9"/>
  <c r="L5" i="9"/>
  <c r="U4" i="9"/>
  <c r="L4" i="9"/>
  <c r="V2" i="9"/>
  <c r="G2" i="9"/>
  <c r="D2" i="9"/>
  <c r="Q2" i="9"/>
  <c r="U3" i="9"/>
  <c r="Z67" i="2" l="1"/>
  <c r="AB57" i="2"/>
  <c r="Q47" i="2"/>
  <c r="AB32" i="2"/>
  <c r="X32" i="2"/>
  <c r="Q71" i="2"/>
  <c r="S24" i="2"/>
  <c r="T24" i="2" s="1"/>
  <c r="Z8" i="2"/>
  <c r="AB8" i="2" s="1"/>
  <c r="AB76" i="2"/>
  <c r="Z40" i="2"/>
  <c r="AB40" i="2" s="1"/>
  <c r="AB68" i="2"/>
  <c r="AB31" i="2"/>
  <c r="Q57" i="2"/>
  <c r="Z10" i="2"/>
  <c r="AB23" i="2"/>
  <c r="S79" i="2"/>
  <c r="T79" i="2" s="1"/>
  <c r="S8" i="2"/>
  <c r="T8" i="2" s="1"/>
  <c r="Q55" i="2"/>
  <c r="AB39" i="2"/>
  <c r="AB16" i="2"/>
  <c r="Z15" i="2"/>
  <c r="AB15" i="2" s="1"/>
  <c r="Z99" i="2"/>
  <c r="AB99" i="2" s="1"/>
  <c r="Z7" i="2"/>
  <c r="AB7" i="2" s="1"/>
  <c r="Z26" i="2"/>
  <c r="S84" i="2"/>
  <c r="T84" i="2" s="1"/>
  <c r="Z60" i="2"/>
  <c r="AB60" i="2" s="1"/>
  <c r="AB97" i="2"/>
  <c r="Z62" i="2"/>
  <c r="AB62" i="2" s="1"/>
  <c r="S100" i="2"/>
  <c r="T100" i="2" s="1"/>
  <c r="Z63" i="2"/>
  <c r="AB63" i="2" s="1"/>
  <c r="Z75" i="2"/>
  <c r="AB75" i="2" s="1"/>
  <c r="Z30" i="2"/>
  <c r="AB30" i="2" s="1"/>
  <c r="Q79" i="2"/>
  <c r="Z14" i="2"/>
  <c r="AB14" i="2" s="1"/>
  <c r="Z28" i="2"/>
  <c r="AB28" i="2" s="1"/>
  <c r="X7" i="2"/>
  <c r="X95" i="2"/>
  <c r="S95" i="2"/>
  <c r="T95" i="2" s="1"/>
  <c r="Z52" i="2"/>
  <c r="AB10" i="2"/>
  <c r="AB100" i="2"/>
  <c r="AB91" i="2"/>
  <c r="X64" i="2"/>
  <c r="X88" i="2"/>
  <c r="Q74" i="2"/>
  <c r="S41" i="2"/>
  <c r="T41" i="2" s="1"/>
  <c r="Z36" i="2"/>
  <c r="AB36" i="2" s="1"/>
  <c r="Z65" i="2"/>
  <c r="AB65" i="2" s="1"/>
  <c r="AB79" i="2"/>
  <c r="AB47" i="2"/>
  <c r="AB71" i="2"/>
  <c r="X96" i="2"/>
  <c r="Q56" i="2"/>
  <c r="Z56" i="2"/>
  <c r="AB56" i="2" s="1"/>
  <c r="S39" i="2"/>
  <c r="T39" i="2" s="1"/>
  <c r="X39" i="2"/>
  <c r="S33" i="2"/>
  <c r="T33" i="2" s="1"/>
  <c r="AB52" i="2"/>
  <c r="AB48" i="2"/>
  <c r="X63" i="2"/>
  <c r="Q95" i="2"/>
  <c r="Z95" i="2"/>
  <c r="AB95" i="2" s="1"/>
  <c r="AB81" i="2"/>
  <c r="Z89" i="2"/>
  <c r="AB89" i="2" s="1"/>
  <c r="S55" i="2"/>
  <c r="T55" i="2" s="1"/>
  <c r="X55" i="2"/>
  <c r="S15" i="2"/>
  <c r="T15" i="2" s="1"/>
  <c r="Z84" i="2"/>
  <c r="AB84" i="2" s="1"/>
  <c r="X87" i="2"/>
  <c r="S87" i="2"/>
  <c r="T87" i="2" s="1"/>
  <c r="Q44" i="2"/>
  <c r="Z44" i="2"/>
  <c r="AB44" i="2" s="1"/>
  <c r="Z73" i="2"/>
  <c r="AB73" i="2" s="1"/>
  <c r="Q54" i="2"/>
  <c r="Z54" i="2"/>
  <c r="AB54" i="2" s="1"/>
  <c r="X71" i="2"/>
  <c r="S71" i="2"/>
  <c r="T71" i="2" s="1"/>
  <c r="X47" i="2"/>
  <c r="S47" i="2"/>
  <c r="T47" i="2" s="1"/>
  <c r="Q22" i="2"/>
  <c r="Z22" i="2"/>
  <c r="AB22" i="2" s="1"/>
  <c r="Q87" i="2"/>
  <c r="Z87" i="2"/>
  <c r="AB87" i="2" s="1"/>
  <c r="Z6" i="2"/>
  <c r="AB6" i="2" s="1"/>
  <c r="Q6" i="2"/>
  <c r="Q38" i="2"/>
  <c r="Z38" i="2"/>
  <c r="AB38" i="2" s="1"/>
  <c r="S20" i="2"/>
  <c r="T20" i="2" s="1"/>
  <c r="X20" i="2"/>
  <c r="S13" i="2"/>
  <c r="T13" i="2" s="1"/>
  <c r="X13" i="2"/>
  <c r="Z13" i="2"/>
  <c r="AB13" i="2" s="1"/>
  <c r="Q13" i="2"/>
  <c r="X42" i="2"/>
  <c r="S42" i="2"/>
  <c r="T42" i="2" s="1"/>
  <c r="Q69" i="2"/>
  <c r="Z69" i="2"/>
  <c r="AB69" i="2" s="1"/>
  <c r="AB26" i="2"/>
  <c r="Q70" i="2"/>
  <c r="Z70" i="2"/>
  <c r="AB70" i="2" s="1"/>
  <c r="Q41" i="2"/>
  <c r="Z41" i="2"/>
  <c r="AB41" i="2" s="1"/>
  <c r="Q12" i="2"/>
  <c r="Z12" i="2"/>
  <c r="AB12" i="2" s="1"/>
  <c r="S86" i="2"/>
  <c r="T86" i="2" s="1"/>
  <c r="X86" i="2"/>
  <c r="AB67" i="2"/>
  <c r="X66" i="2"/>
  <c r="S66" i="2"/>
  <c r="T66" i="2" s="1"/>
  <c r="X90" i="2"/>
  <c r="S90" i="2"/>
  <c r="T90" i="2" s="1"/>
  <c r="Q3" i="2"/>
  <c r="Z3" i="2"/>
  <c r="AB3" i="2" s="1"/>
  <c r="S4" i="2"/>
  <c r="T4" i="2" s="1"/>
  <c r="X4" i="2"/>
  <c r="Q43" i="2"/>
  <c r="Z43" i="2"/>
  <c r="AB43" i="2" s="1"/>
  <c r="Q20" i="2"/>
  <c r="Z20" i="2"/>
  <c r="AB20" i="2" s="1"/>
  <c r="S14" i="2"/>
  <c r="T14" i="2" s="1"/>
  <c r="X14" i="2"/>
  <c r="X51" i="2"/>
  <c r="S51" i="2"/>
  <c r="T51" i="2" s="1"/>
  <c r="X59" i="2"/>
  <c r="S59" i="2"/>
  <c r="T59" i="2" s="1"/>
  <c r="Q9" i="2"/>
  <c r="Z9" i="2"/>
  <c r="AB9" i="2" s="1"/>
  <c r="S70" i="2"/>
  <c r="T70" i="2" s="1"/>
  <c r="X70" i="2"/>
  <c r="Q93" i="2"/>
  <c r="Z93" i="2"/>
  <c r="AB93" i="2" s="1"/>
  <c r="Q25" i="2"/>
  <c r="Z25" i="2"/>
  <c r="AB25" i="2" s="1"/>
  <c r="Q72" i="2"/>
  <c r="Z72" i="2"/>
  <c r="AB72" i="2" s="1"/>
  <c r="Q88" i="2"/>
  <c r="Z88" i="2"/>
  <c r="AB88" i="2" s="1"/>
  <c r="Q19" i="2"/>
  <c r="Z19" i="2"/>
  <c r="AB19" i="2" s="1"/>
  <c r="S21" i="2"/>
  <c r="T21" i="2" s="1"/>
  <c r="X21" i="2"/>
  <c r="Z61" i="2"/>
  <c r="AB61" i="2" s="1"/>
  <c r="Q61" i="2"/>
  <c r="S94" i="2"/>
  <c r="T94" i="2" s="1"/>
  <c r="X94" i="2"/>
  <c r="Q78" i="2"/>
  <c r="Z78" i="2"/>
  <c r="AB78" i="2" s="1"/>
  <c r="X73" i="2"/>
  <c r="S73" i="2"/>
  <c r="T73" i="2" s="1"/>
  <c r="X89" i="2"/>
  <c r="S89" i="2"/>
  <c r="T89" i="2" s="1"/>
  <c r="S62" i="2"/>
  <c r="T62" i="2" s="1"/>
  <c r="X62" i="2"/>
  <c r="X82" i="2"/>
  <c r="S82" i="2"/>
  <c r="T82" i="2" s="1"/>
  <c r="X44" i="2"/>
  <c r="S44" i="2"/>
  <c r="T44" i="2" s="1"/>
  <c r="Z37" i="2"/>
  <c r="AB37" i="2" s="1"/>
  <c r="Q37" i="2"/>
  <c r="Q11" i="2"/>
  <c r="Z11" i="2"/>
  <c r="AB11" i="2" s="1"/>
  <c r="Q27" i="2"/>
  <c r="Z27" i="2"/>
  <c r="AB27" i="2" s="1"/>
  <c r="Q51" i="2"/>
  <c r="Z51" i="2"/>
  <c r="AB51" i="2" s="1"/>
  <c r="Z21" i="2"/>
  <c r="AB21" i="2" s="1"/>
  <c r="Q21" i="2"/>
  <c r="S38" i="2"/>
  <c r="T38" i="2" s="1"/>
  <c r="X38" i="2"/>
  <c r="X26" i="2"/>
  <c r="S26" i="2"/>
  <c r="T26" i="2" s="1"/>
  <c r="X43" i="2"/>
  <c r="S43" i="2"/>
  <c r="T43" i="2" s="1"/>
  <c r="Q77" i="2"/>
  <c r="Z77" i="2"/>
  <c r="AB77" i="2" s="1"/>
  <c r="Q33" i="2"/>
  <c r="Z33" i="2"/>
  <c r="AB33" i="2" s="1"/>
  <c r="AB83" i="2"/>
  <c r="X10" i="2"/>
  <c r="S10" i="2"/>
  <c r="T10" i="2" s="1"/>
  <c r="Q42" i="2"/>
  <c r="Z42" i="2"/>
  <c r="AB42" i="2" s="1"/>
  <c r="X3" i="2"/>
  <c r="S3" i="2"/>
  <c r="T3" i="2" s="1"/>
  <c r="S28" i="2"/>
  <c r="T28" i="2" s="1"/>
  <c r="X28" i="2"/>
  <c r="S22" i="2"/>
  <c r="T22" i="2" s="1"/>
  <c r="X22" i="2"/>
  <c r="Z46" i="2"/>
  <c r="AB46" i="2" s="1"/>
  <c r="Q46" i="2"/>
  <c r="S78" i="2"/>
  <c r="T78" i="2" s="1"/>
  <c r="X78" i="2"/>
  <c r="Q86" i="2"/>
  <c r="Z86" i="2"/>
  <c r="AB86" i="2" s="1"/>
  <c r="S58" i="2"/>
  <c r="T58" i="2" s="1"/>
  <c r="X58" i="2"/>
  <c r="X98" i="2"/>
  <c r="S98" i="2"/>
  <c r="T98" i="2" s="1"/>
  <c r="S36" i="2"/>
  <c r="T36" i="2" s="1"/>
  <c r="X36" i="2"/>
  <c r="S12" i="2"/>
  <c r="T12" i="2" s="1"/>
  <c r="X12" i="2"/>
  <c r="X52" i="2"/>
  <c r="S52" i="2"/>
  <c r="T52" i="2" s="1"/>
  <c r="Q34" i="2"/>
  <c r="Z34" i="2"/>
  <c r="AB34" i="2" s="1"/>
  <c r="Q4" i="2"/>
  <c r="Z4" i="2"/>
  <c r="AB4" i="2" s="1"/>
  <c r="Z5" i="2"/>
  <c r="AB5" i="2" s="1"/>
  <c r="Q5" i="2"/>
  <c r="Z45" i="2"/>
  <c r="AB45" i="2" s="1"/>
  <c r="Q45" i="2"/>
  <c r="X18" i="2"/>
  <c r="S18" i="2"/>
  <c r="T18" i="2" s="1"/>
  <c r="Q58" i="2"/>
  <c r="Z58" i="2"/>
  <c r="AB58" i="2" s="1"/>
  <c r="Q50" i="2"/>
  <c r="Z50" i="2"/>
  <c r="AB50" i="2" s="1"/>
  <c r="Q80" i="2"/>
  <c r="Z80" i="2"/>
  <c r="AB80" i="2" s="1"/>
  <c r="Q96" i="2"/>
  <c r="Z96" i="2"/>
  <c r="AB96" i="2" s="1"/>
  <c r="X34" i="2"/>
  <c r="S34" i="2"/>
  <c r="T34" i="2" s="1"/>
  <c r="X50" i="2"/>
  <c r="S50" i="2"/>
  <c r="T50" i="2" s="1"/>
  <c r="Q64" i="2"/>
  <c r="Z64" i="2"/>
  <c r="AB64" i="2" s="1"/>
  <c r="X74" i="2"/>
  <c r="S74" i="2"/>
  <c r="T74" i="2" s="1"/>
  <c r="S30" i="2"/>
  <c r="T30" i="2" s="1"/>
  <c r="X30" i="2"/>
  <c r="X35" i="2"/>
  <c r="S35" i="2"/>
  <c r="T35" i="2" s="1"/>
  <c r="Q35" i="2"/>
  <c r="Z35" i="2"/>
  <c r="AB35" i="2" s="1"/>
  <c r="S5" i="2"/>
  <c r="T5" i="2" s="1"/>
  <c r="X5" i="2"/>
  <c r="S6" i="2"/>
  <c r="T6" i="2" s="1"/>
  <c r="X6" i="2"/>
  <c r="Z29" i="2"/>
  <c r="AB29" i="2" s="1"/>
  <c r="Q29" i="2"/>
  <c r="S46" i="2"/>
  <c r="T46" i="2" s="1"/>
  <c r="X46" i="2"/>
  <c r="Q17" i="2"/>
  <c r="Z17" i="2"/>
  <c r="AB17" i="2" s="1"/>
  <c r="Z53" i="2"/>
  <c r="AB53" i="2" s="1"/>
  <c r="Q53" i="2"/>
  <c r="Q59" i="2"/>
  <c r="Z59" i="2"/>
  <c r="AB59" i="2" s="1"/>
  <c r="Q85" i="2"/>
  <c r="Z85" i="2"/>
  <c r="AB85" i="2" s="1"/>
  <c r="Q94" i="2"/>
  <c r="Z94" i="2"/>
  <c r="AB94" i="2" s="1"/>
  <c r="X65" i="2"/>
  <c r="S65" i="2"/>
  <c r="T65" i="2" s="1"/>
  <c r="X81" i="2"/>
  <c r="S81" i="2"/>
  <c r="T81" i="2" s="1"/>
  <c r="X97" i="2"/>
  <c r="S97" i="2"/>
  <c r="T97" i="2" s="1"/>
  <c r="Q18" i="2"/>
  <c r="Z18" i="2"/>
  <c r="AB18" i="2" s="1"/>
  <c r="S54" i="2"/>
  <c r="T54" i="2" s="1"/>
  <c r="X54" i="2"/>
  <c r="L4" i="7"/>
  <c r="R13" i="7" s="1"/>
  <c r="L13" i="7" l="1"/>
  <c r="O22" i="7" l="1"/>
  <c r="L22" i="7"/>
  <c r="O4" i="7" l="1"/>
  <c r="O13" i="7" l="1"/>
  <c r="R22" i="7" l="1"/>
</calcChain>
</file>

<file path=xl/sharedStrings.xml><?xml version="1.0" encoding="utf-8"?>
<sst xmlns="http://schemas.openxmlformats.org/spreadsheetml/2006/main" count="604" uniqueCount="216">
  <si>
    <t>Title</t>
  </si>
  <si>
    <t>Content</t>
  </si>
  <si>
    <t>Customization difficulty (1-3)</t>
  </si>
  <si>
    <t>Explanation of sheets</t>
  </si>
  <si>
    <t>How to customize</t>
  </si>
  <si>
    <t>1)</t>
  </si>
  <si>
    <t>2)</t>
  </si>
  <si>
    <t>3)</t>
  </si>
  <si>
    <t>4)</t>
  </si>
  <si>
    <t>5)</t>
  </si>
  <si>
    <t>6)</t>
  </si>
  <si>
    <t>7)</t>
  </si>
  <si>
    <t>8)</t>
  </si>
  <si>
    <t>Database</t>
  </si>
  <si>
    <t>Date</t>
  </si>
  <si>
    <t>Line</t>
  </si>
  <si>
    <t>Product</t>
  </si>
  <si>
    <t>Product details</t>
  </si>
  <si>
    <t>Product Name</t>
  </si>
  <si>
    <t>ABC</t>
  </si>
  <si>
    <t>ABB</t>
  </si>
  <si>
    <t>AAA</t>
  </si>
  <si>
    <t>CCC</t>
  </si>
  <si>
    <t>DBA</t>
  </si>
  <si>
    <t>CFD</t>
  </si>
  <si>
    <t>DDC</t>
  </si>
  <si>
    <t>Quality</t>
  </si>
  <si>
    <t>Line 1</t>
  </si>
  <si>
    <t>Line 2</t>
  </si>
  <si>
    <t>Line 3</t>
  </si>
  <si>
    <t>Root Causes</t>
  </si>
  <si>
    <t>Operating line details</t>
  </si>
  <si>
    <t>Quality issue</t>
  </si>
  <si>
    <t>Material delay</t>
  </si>
  <si>
    <t>Workers shortage</t>
  </si>
  <si>
    <t>Machine problem</t>
  </si>
  <si>
    <t>Material preparation</t>
  </si>
  <si>
    <t>Sudden plan change</t>
  </si>
  <si>
    <t>Shifts</t>
  </si>
  <si>
    <t>Operating shifts</t>
  </si>
  <si>
    <t>Failure Root Causes</t>
  </si>
  <si>
    <t>Shift</t>
  </si>
  <si>
    <t>Target Quantity</t>
  </si>
  <si>
    <t>Defect Quantity</t>
  </si>
  <si>
    <t>Ok Quantity</t>
  </si>
  <si>
    <t>UPH</t>
  </si>
  <si>
    <t>Breakdowns</t>
  </si>
  <si>
    <t>Failure Root Cause</t>
  </si>
  <si>
    <t>Defect Cost</t>
  </si>
  <si>
    <t>Lose Time Cost</t>
  </si>
  <si>
    <t>Line 4</t>
  </si>
  <si>
    <t>Line 5</t>
  </si>
  <si>
    <t>OEE %</t>
  </si>
  <si>
    <t>Quality %</t>
  </si>
  <si>
    <t>Performance %</t>
  </si>
  <si>
    <t>Availability %</t>
  </si>
  <si>
    <t>Plan Achieve %</t>
  </si>
  <si>
    <t>Defect Cost per Item</t>
  </si>
  <si>
    <t>Total Lose Cost</t>
  </si>
  <si>
    <t>Workers required</t>
  </si>
  <si>
    <t>UPPH</t>
  </si>
  <si>
    <t>Utilization Cost per Hour</t>
  </si>
  <si>
    <t>Cycle Time (sec)</t>
  </si>
  <si>
    <t>Lines</t>
  </si>
  <si>
    <t>Actual Run Time (Hrs)</t>
  </si>
  <si>
    <t>Lose Time (Hrs)</t>
  </si>
  <si>
    <t>MTBF (Hrs)</t>
  </si>
  <si>
    <t>Packing shortage</t>
  </si>
  <si>
    <t>Mold problem</t>
  </si>
  <si>
    <t>Shift Start</t>
  </si>
  <si>
    <t>Shift End</t>
  </si>
  <si>
    <t>Planned Downtime</t>
  </si>
  <si>
    <t>Unplanned Downtime</t>
  </si>
  <si>
    <t>Ideal Cycle time</t>
  </si>
  <si>
    <t>Total Scrap</t>
  </si>
  <si>
    <t>( time in minutes)</t>
  </si>
  <si>
    <t>Total Production</t>
  </si>
  <si>
    <t>Capacity</t>
  </si>
  <si>
    <t>Availability</t>
  </si>
  <si>
    <t>Performance</t>
  </si>
  <si>
    <t>OEE</t>
  </si>
  <si>
    <t>MTBF</t>
  </si>
  <si>
    <t>Time</t>
  </si>
  <si>
    <t>( time in hours)</t>
  </si>
  <si>
    <t>MTTR (Hrs)</t>
  </si>
  <si>
    <t>MTTR</t>
  </si>
  <si>
    <t>Total Quality Approved Parts</t>
  </si>
  <si>
    <t>Available time (Hrs)</t>
  </si>
  <si>
    <t>Planned downtime (Hrs)</t>
  </si>
  <si>
    <t>Working hours</t>
  </si>
  <si>
    <t>Total defects</t>
  </si>
  <si>
    <t>Defect %</t>
  </si>
  <si>
    <t>Row Labels</t>
  </si>
  <si>
    <t>Grand Total</t>
  </si>
  <si>
    <t>Total Approved Units</t>
  </si>
  <si>
    <t>Sum of Ok Quantity</t>
  </si>
  <si>
    <t>Sum of Defect Quantity</t>
  </si>
  <si>
    <t>Sum of Defect Cost</t>
  </si>
  <si>
    <t>Sum of Lose Time Cost</t>
  </si>
  <si>
    <t>Sum of Total Lose Cost</t>
  </si>
  <si>
    <t>Average of Plan Achieve %</t>
  </si>
  <si>
    <t>Average of Availability %</t>
  </si>
  <si>
    <t>Average of Performance %</t>
  </si>
  <si>
    <t>Average of Quality %</t>
  </si>
  <si>
    <t>Average of OEE %</t>
  </si>
  <si>
    <t>Average of Defect %</t>
  </si>
  <si>
    <t>OEE % Analysis</t>
  </si>
  <si>
    <t>Total Lose Cost Analysis</t>
  </si>
  <si>
    <t>Average of UPH</t>
  </si>
  <si>
    <t>Sum of Actual Run Time (Hrs)</t>
  </si>
  <si>
    <t>Sum of Lose Time (Hrs)</t>
  </si>
  <si>
    <t>Defect%</t>
  </si>
  <si>
    <t>Achieve%</t>
  </si>
  <si>
    <t>Availab.%</t>
  </si>
  <si>
    <t>Perform.%</t>
  </si>
  <si>
    <t>Quality%</t>
  </si>
  <si>
    <t>OEE%</t>
  </si>
  <si>
    <t>Levels</t>
  </si>
  <si>
    <t>Visualization Limits Control</t>
  </si>
  <si>
    <t>Accepted</t>
  </si>
  <si>
    <t>Warning</t>
  </si>
  <si>
    <t xml:space="preserve"> Run time (Hrs)</t>
  </si>
  <si>
    <t xml:space="preserve"> Lost Time (Hrs)</t>
  </si>
  <si>
    <t xml:space="preserve"> Average UPH</t>
  </si>
  <si>
    <t>Qtr1</t>
  </si>
  <si>
    <t>Qtr2</t>
  </si>
  <si>
    <t>Qtr3</t>
  </si>
  <si>
    <t>Qtr4</t>
  </si>
  <si>
    <t>2019</t>
  </si>
  <si>
    <t>Average of MTBF (Hrs)</t>
  </si>
  <si>
    <t>Average of MTTR (Hrs)</t>
  </si>
  <si>
    <t>2017</t>
  </si>
  <si>
    <t>2018</t>
  </si>
  <si>
    <t>2015</t>
  </si>
  <si>
    <t>2016</t>
  </si>
  <si>
    <t>2020</t>
  </si>
  <si>
    <t>Available Run Time (Hrs)</t>
  </si>
  <si>
    <t>Sum of Available Run Time (Hrs)</t>
  </si>
  <si>
    <t>They give manufacturers valuable business insights to meet their organizational goals.</t>
  </si>
  <si>
    <t>Manufacturing KPI Management</t>
  </si>
  <si>
    <t>Manufacturing Calculator</t>
  </si>
  <si>
    <t>A manufacturing KPI is a well-defined measurement to monitor, analyze and optimize production processes regarding their quantity, quality as well as different cost aspects.</t>
  </si>
  <si>
    <t>Dashboard</t>
  </si>
  <si>
    <t>Raw Data</t>
  </si>
  <si>
    <t>Calculator</t>
  </si>
  <si>
    <t>KPI</t>
  </si>
  <si>
    <t>A Key Performance Indicator (KPI) is a measurable value that demonstrates how effectively a company is achieving key business objectives.</t>
  </si>
  <si>
    <t>Planned downtime</t>
  </si>
  <si>
    <t>Unplanned downtime</t>
  </si>
  <si>
    <t>Definitions</t>
  </si>
  <si>
    <t>Performance%</t>
  </si>
  <si>
    <t>Availability%</t>
  </si>
  <si>
    <t>Unit per hour, Is how many quantity can be produced in one hour</t>
  </si>
  <si>
    <t>Is the unit produced per hour divided by direct workers involved in the process</t>
  </si>
  <si>
    <t>Occurs when there is an unexpected shutdown or failure of equipment or process.</t>
  </si>
  <si>
    <t>Is scheduled time when production equipment is limited or shut down to allow for planned maintenance, repairs, upgrades or testing.</t>
  </si>
  <si>
    <t>When machine or equipment stop working.</t>
  </si>
  <si>
    <t>Mean Time Between Failures is the average time between system breakdowns.</t>
  </si>
  <si>
    <t>Mean Time To Repair is the average time required to troubleshoot and repair failed equipment.</t>
  </si>
  <si>
    <t>Is the percentage of scheduled time that the operation is available to operate.</t>
  </si>
  <si>
    <t>Is the speed at which the Work Center runs as a percentage of its designed speed.</t>
  </si>
  <si>
    <t>the Good Units produced as a percentage of the Total Units Started.</t>
  </si>
  <si>
    <t>Is the ratio of Fully Productive Time to Planned Production Time. OEE can also be calculated by multiplying Availability, Performance, and Quality</t>
  </si>
  <si>
    <t>From this dashboard sheet you can review Manufacturing KPI analysis and trends that help you in decision making</t>
  </si>
  <si>
    <t>Through this sheet you will register periodic production and manufacturing data</t>
  </si>
  <si>
    <t>At this sheet you can establish operation database that reflect "Product details, Operating lines, Operating shifts and failures root causes"</t>
  </si>
  <si>
    <t>It's fast manufacturing calculator kit can be used to compute manufacturing metrics</t>
  </si>
  <si>
    <t xml:space="preserve">Start from database sheet record your Manufacturing standards </t>
  </si>
  <si>
    <t>Register product names and for each product record related cycle time, workers required and defect cost as database reference</t>
  </si>
  <si>
    <t>In second database table register operating shifts and working times for each shift</t>
  </si>
  <si>
    <t>At failure root cause database table start to record all history failures and predicted list also that can be used in data analysis</t>
  </si>
  <si>
    <t>In last database table start to listout operating lines with utilization cost per hour</t>
  </si>
  <si>
    <t>Now database is ready to reflect your manufactoring raw data</t>
  </si>
  <si>
    <t>From raw data sheet start to record your daily or periodic manufacturing data in blank white columns</t>
  </si>
  <si>
    <t>Gray columns is functional cells not allowed to insert data</t>
  </si>
  <si>
    <t>9)</t>
  </si>
  <si>
    <t>Insert date event or production</t>
  </si>
  <si>
    <t>10)</t>
  </si>
  <si>
    <t>11)</t>
  </si>
  <si>
    <t>12)</t>
  </si>
  <si>
    <t>13)</t>
  </si>
  <si>
    <t>14)</t>
  </si>
  <si>
    <t>Select shift of production schedule</t>
  </si>
  <si>
    <t>Then select product name from dropdown list</t>
  </si>
  <si>
    <t>Select operating line which produce mentioned product</t>
  </si>
  <si>
    <t>Record planned downtime "planned shutdown, planned maintenance schedule, testing or breaktimes"</t>
  </si>
  <si>
    <t>15)</t>
  </si>
  <si>
    <t>Unplanned downtime will be calculated automatically</t>
  </si>
  <si>
    <t>Select Failure from root cause drop list "Apply only in case of lose time"</t>
  </si>
  <si>
    <t>Then start to record prodution quantities OK and Defect</t>
  </si>
  <si>
    <r>
      <t>For new entry just start to record new data in last row with arrow "</t>
    </r>
    <r>
      <rPr>
        <sz val="10"/>
        <color rgb="FF50B47F"/>
        <rFont val="Arial"/>
        <family val="2"/>
      </rPr>
      <t>New entry--&gt;</t>
    </r>
    <r>
      <rPr>
        <sz val="10"/>
        <color theme="1"/>
        <rFont val="Arial"/>
        <family val="2"/>
      </rPr>
      <t>"</t>
    </r>
  </si>
  <si>
    <t>Now data is ready to be presented in the dynamic dashboard</t>
  </si>
  <si>
    <t>Go to dashboard sheet and for updating data press "Refresh data" button</t>
  </si>
  <si>
    <t>Manufacturing KPI metrics and trends will automatically calculated which can be manipulated using slicers</t>
  </si>
  <si>
    <t>16)</t>
  </si>
  <si>
    <t>17)</t>
  </si>
  <si>
    <t>18)</t>
  </si>
  <si>
    <t>19)</t>
  </si>
  <si>
    <t>20)</t>
  </si>
  <si>
    <t>21)</t>
  </si>
  <si>
    <t>22)</t>
  </si>
  <si>
    <t>Record actual running time in hours</t>
  </si>
  <si>
    <t>In breakdown column, In case of machine or line stop So, record how many times is stopped</t>
  </si>
  <si>
    <t>23)</t>
  </si>
  <si>
    <t>At Dashbaord sheet in visualization limits control table you can set visualization metrics for manufactoring KPI's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</si>
  <si>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</si>
  <si>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</si>
  <si>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</si>
  <si>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</si>
  <si>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</si>
  <si>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</si>
  <si>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</si>
  <si>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</si>
  <si>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Other Macros / Buttons</t>
  </si>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</sst>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 #,##0_);_(* \(#,##0\);_(* &quot;-&quot;??_);_(@_)"/>
    <numFmt numFmtId="166" formatCode="0.0"/>
    <numFmt numFmtId="167" formatCode="_(* #,##0.0_);_(* \(#,##0.0\);_(* &quot;-&quot;??_);_(@_)"/>
    <numFmt numFmtId="168" formatCode="[$-409]h:mm\ AM/PM;@"/>
    <numFmt numFmtId="169" formatCode="[$$-409]#,##0_);\([$$-409]#,##0\)"/>
  </numFmts>
  <fonts count="33" x14ac:knownFonts="1">
    <font>
      <sz val="11"/>
      <color theme="1"/>
      <name val="Calibri"/>
      <family val="2"/>
      <scheme val="minor"/>
    </font>
    <font>
      <sz val="10"/>
      <color theme="1"/>
      <name val="Arial"/>
      <family val="2"/>
    </font>
    <font>
      <b/>
      <sz val="10"/>
      <color theme="1"/>
      <name val="Arial"/>
      <family val="2"/>
    </font>
    <font>
      <u/>
      <sz val="10"/>
      <color theme="1"/>
      <name val="Arial"/>
      <family val="2"/>
    </font>
    <font>
      <b/>
      <u/>
      <sz val="10"/>
      <color theme="1"/>
      <name val="Arial"/>
      <family val="2"/>
    </font>
    <font>
      <i/>
      <u/>
      <sz val="10"/>
      <color theme="1"/>
      <name val="Arial"/>
      <family val="2"/>
    </font>
    <font>
      <u/>
      <sz val="11"/>
      <color theme="10"/>
      <name val="Calibri"/>
      <family val="2"/>
      <scheme val="minor"/>
    </font>
    <font>
      <sz val="10"/>
      <color theme="0"/>
      <name val="Arial"/>
      <family val="2"/>
    </font>
    <font>
      <u/>
      <sz val="11"/>
      <color theme="0"/>
      <name val="Calibri"/>
      <family val="2"/>
      <scheme val="minor"/>
    </font>
    <font>
      <sz val="11"/>
      <color theme="1"/>
      <name val="Calibri"/>
      <family val="2"/>
      <scheme val="minor"/>
    </font>
    <font>
      <b/>
      <sz val="10"/>
      <color theme="0"/>
      <name val="Arial"/>
      <family val="2"/>
    </font>
    <font>
      <b/>
      <sz val="10"/>
      <color theme="0" tint="-0.499984740745262"/>
      <name val="Arial"/>
      <family val="2"/>
    </font>
    <font>
      <sz val="8"/>
      <name val="Calibri"/>
      <family val="2"/>
      <scheme val="minor"/>
    </font>
    <font>
      <b/>
      <sz val="16"/>
      <color theme="0"/>
      <name val="Arial"/>
      <family val="2"/>
    </font>
    <font>
      <sz val="8"/>
      <color theme="1"/>
      <name val="Arial"/>
      <family val="2"/>
    </font>
    <font>
      <sz val="48"/>
      <color theme="0" tint="-0.499984740745262"/>
      <name val="Arial"/>
      <family val="2"/>
    </font>
    <font>
      <b/>
      <sz val="10"/>
      <color theme="1" tint="4.9989318521683403E-2"/>
      <name val="Arial"/>
      <family val="2"/>
    </font>
    <font>
      <sz val="11"/>
      <color rgb="FF000000"/>
      <name val="Calibri"/>
      <family val="2"/>
    </font>
    <font>
      <sz val="16"/>
      <color rgb="FFDAC108"/>
      <name val="Arial"/>
      <family val="2"/>
    </font>
    <font>
      <sz val="16"/>
      <color rgb="FFA32319"/>
      <name val="Arial"/>
      <family val="2"/>
    </font>
    <font>
      <sz val="10"/>
      <color rgb="FFC00000"/>
      <name val="Arial"/>
      <family val="2"/>
    </font>
    <font>
      <b/>
      <sz val="10"/>
      <color theme="1" tint="0.499984740745262"/>
      <name val="Arial"/>
      <family val="2"/>
    </font>
    <font>
      <sz val="28"/>
      <color rgb="FF8FCFAD"/>
      <name val="Arial"/>
      <family val="2"/>
    </font>
    <font>
      <b/>
      <u/>
      <sz val="13"/>
      <color rgb="FF50B47F"/>
      <name val="Arial"/>
      <family val="2"/>
    </font>
    <font>
      <sz val="10"/>
      <color rgb="FF50B47F"/>
      <name val="Arial"/>
      <family val="2"/>
    </font>
    <font>
      <b/>
      <sz val="11"/>
      <color theme="0" tint="-0.499984740745262"/>
      <name val="Arial"/>
      <family val="2"/>
    </font>
    <font>
      <sz val="18"/>
      <color theme="0"/>
      <name val="Arial"/>
      <family val="2"/>
    </font>
    <font>
      <u/>
      <sz val="10"/>
      <color theme="0" tint="-0.499984740745262"/>
      <name val="Arial"/>
      <family val="2"/>
    </font>
    <font>
      <sz val="28"/>
      <color rgb="FF50B47F"/>
      <name val="Arial"/>
      <family val="2"/>
    </font>
    <font>
      <u val="singleAccounting"/>
      <sz val="10"/>
      <color rgb="FF50B47F"/>
      <name val="Arial"/>
      <family val="2"/>
    </font>
    <font>
      <u val="singleAccounting"/>
      <sz val="20"/>
      <color rgb="FF50B47F"/>
      <name val="Arial"/>
      <family val="2"/>
    </font>
    <font>
      <sz val="11"/>
      <color theme="1"/>
      <name val="Calibri"/>
      <family val="2"/>
    </font>
    <font>
      <sz val="9"/>
      <color rgb="FF50B47F"/>
      <name val="Arial"/>
      <family val="2"/>
    </font>
  </fonts>
  <fills count="6">
    <fill>
      <patternFill patternType="none"/>
    </fill>
    <fill>
      <patternFill patternType="gray125"/>
    </fill>
    <fill>
      <patternFill patternType="solid">
        <fgColor rgb="FF50B47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s>
  <borders count="31">
    <border>
      <left/>
      <right/>
      <top/>
      <bottom/>
      <diagonal/>
    </border>
    <border>
      <left style="thin">
        <color theme="0" tint="-0.34998626667073579"/>
      </left>
      <right style="dashed">
        <color theme="0" tint="-0.34998626667073579"/>
      </right>
      <top style="dashed">
        <color theme="0" tint="-0.34998626667073579"/>
      </top>
      <bottom style="dashed">
        <color theme="0" tint="-0.34998626667073579"/>
      </bottom>
      <diagonal/>
    </border>
    <border>
      <left style="thin">
        <color theme="0" tint="-0.34998626667073579"/>
      </left>
      <right style="thin">
        <color theme="0" tint="-0.34998626667073579"/>
      </right>
      <top style="dashed">
        <color theme="0" tint="-0.34998626667073579"/>
      </top>
      <bottom style="dashed">
        <color theme="0" tint="-0.34998626667073579"/>
      </bottom>
      <diagonal/>
    </border>
    <border>
      <left/>
      <right/>
      <top/>
      <bottom style="medium">
        <color theme="0" tint="-0.2499465926084170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14993743705557422"/>
      </right>
      <top/>
      <bottom/>
      <diagonal/>
    </border>
    <border>
      <left style="thin">
        <color theme="0" tint="-0.14993743705557422"/>
      </left>
      <right style="thin">
        <color theme="0" tint="-0.14993743705557422"/>
      </right>
      <top/>
      <bottom/>
      <diagonal/>
    </border>
    <border>
      <left style="thin">
        <color theme="0" tint="-0.14993743705557422"/>
      </left>
      <right style="thin">
        <color theme="0" tint="-0.14996795556505021"/>
      </right>
      <top/>
      <bottom/>
      <diagonal/>
    </border>
    <border>
      <left/>
      <right/>
      <top/>
      <bottom style="medium">
        <color theme="0"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medium">
        <color theme="0" tint="-0.499984740745262"/>
      </bottom>
      <diagonal/>
    </border>
    <border>
      <left/>
      <right style="thin">
        <color theme="0" tint="-0.34998626667073579"/>
      </right>
      <top/>
      <bottom style="medium">
        <color theme="0" tint="-0.499984740745262"/>
      </bottom>
      <diagonal/>
    </border>
    <border>
      <left style="thin">
        <color theme="0" tint="-0.499984740745262"/>
      </left>
      <right/>
      <top/>
      <bottom/>
      <diagonal/>
    </border>
    <border>
      <left style="thin">
        <color theme="0" tint="-0.499984740745262"/>
      </left>
      <right/>
      <top/>
      <bottom style="medium">
        <color theme="0" tint="-0.499984740745262"/>
      </bottom>
      <diagonal/>
    </border>
    <border>
      <left/>
      <right style="thin">
        <color theme="0" tint="-0.499984740745262"/>
      </right>
      <top/>
      <bottom style="medium">
        <color theme="0" tint="-0.499984740745262"/>
      </bottom>
      <diagonal/>
    </border>
    <border>
      <left/>
      <right style="thin">
        <color theme="0" tint="-0.499984740745262"/>
      </right>
      <top/>
      <bottom/>
      <diagonal/>
    </border>
  </borders>
  <cellStyleXfs count="6">
    <xf numFmtId="0" fontId="0" fillId="0" borderId="0"/>
    <xf numFmtId="0" fontId="1" fillId="0" borderId="0"/>
    <xf numFmtId="0" fontId="6"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 fillId="0" borderId="0"/>
  </cellStyleXfs>
  <cellXfs count="135">
    <xf numFmtId="0" fontId="0" fillId="0" borderId="0" xfId="0"/>
    <xf numFmtId="0" fontId="1" fillId="0" borderId="0" xfId="0" applyFont="1"/>
    <xf numFmtId="0" fontId="2" fillId="0" borderId="0" xfId="0" applyFont="1"/>
    <xf numFmtId="0" fontId="2" fillId="0" borderId="0" xfId="1" applyFont="1"/>
    <xf numFmtId="0" fontId="5" fillId="0" borderId="0" xfId="0" applyFont="1" applyAlignment="1">
      <alignment horizontal="right"/>
    </xf>
    <xf numFmtId="0" fontId="4" fillId="0" borderId="0" xfId="0" applyFont="1" applyAlignment="1">
      <alignment horizontal="right"/>
    </xf>
    <xf numFmtId="0" fontId="1" fillId="0" borderId="0" xfId="0" applyFont="1" applyAlignment="1">
      <alignment horizontal="right"/>
    </xf>
    <xf numFmtId="0" fontId="1" fillId="2" borderId="0" xfId="0" applyFont="1" applyFill="1"/>
    <xf numFmtId="0" fontId="3" fillId="2" borderId="0" xfId="0" applyFont="1" applyFill="1"/>
    <xf numFmtId="0" fontId="1" fillId="0" borderId="0" xfId="0" applyFont="1" applyProtection="1">
      <protection locked="0"/>
    </xf>
    <xf numFmtId="0" fontId="2" fillId="0" borderId="0" xfId="0" applyFont="1" applyAlignment="1">
      <alignment horizontal="center"/>
    </xf>
    <xf numFmtId="0" fontId="1" fillId="0" borderId="1" xfId="0" applyFont="1" applyBorder="1"/>
    <xf numFmtId="0" fontId="8" fillId="2" borderId="0" xfId="2" applyFont="1" applyFill="1"/>
    <xf numFmtId="0" fontId="7" fillId="0" borderId="0" xfId="0" applyFont="1"/>
    <xf numFmtId="0" fontId="1" fillId="0" borderId="2" xfId="0" applyFont="1" applyBorder="1"/>
    <xf numFmtId="0" fontId="0" fillId="0" borderId="0" xfId="0" applyProtection="1">
      <protection locked="0"/>
    </xf>
    <xf numFmtId="0" fontId="11" fillId="0" borderId="0" xfId="0" applyFont="1" applyAlignment="1" applyProtection="1">
      <alignment horizontal="center"/>
      <protection locked="0"/>
    </xf>
    <xf numFmtId="0" fontId="7" fillId="2" borderId="0" xfId="0" applyFont="1" applyFill="1" applyAlignment="1">
      <alignment horizontal="center"/>
    </xf>
    <xf numFmtId="165" fontId="1" fillId="0" borderId="1" xfId="3" applyNumberFormat="1" applyFont="1" applyBorder="1"/>
    <xf numFmtId="168" fontId="0" fillId="0" borderId="0" xfId="0" applyNumberFormat="1"/>
    <xf numFmtId="0" fontId="1" fillId="4" borderId="0" xfId="0" applyFont="1" applyFill="1"/>
    <xf numFmtId="0" fontId="14" fillId="4" borderId="0" xfId="0" applyFont="1" applyFill="1"/>
    <xf numFmtId="166" fontId="1" fillId="4" borderId="0" xfId="0" applyNumberFormat="1" applyFont="1" applyFill="1"/>
    <xf numFmtId="0" fontId="10" fillId="2" borderId="9" xfId="0" applyFont="1" applyFill="1" applyBorder="1" applyAlignment="1" applyProtection="1">
      <alignment horizontal="left" vertical="center"/>
      <protection locked="0"/>
    </xf>
    <xf numFmtId="0" fontId="10" fillId="2" borderId="10" xfId="0" applyFont="1" applyFill="1" applyBorder="1" applyAlignment="1" applyProtection="1">
      <alignment horizontal="left" vertical="center"/>
      <protection locked="0"/>
    </xf>
    <xf numFmtId="0" fontId="10" fillId="2" borderId="11" xfId="0" applyFont="1" applyFill="1" applyBorder="1" applyAlignment="1" applyProtection="1">
      <alignment horizontal="left" vertical="center"/>
      <protection locked="0"/>
    </xf>
    <xf numFmtId="14" fontId="1" fillId="0" borderId="0" xfId="0" applyNumberFormat="1" applyFont="1" applyAlignment="1" applyProtection="1">
      <alignment horizontal="left"/>
      <protection locked="0"/>
    </xf>
    <xf numFmtId="0" fontId="1" fillId="0" borderId="0" xfId="0" applyFont="1" applyAlignment="1" applyProtection="1">
      <alignment horizontal="left"/>
      <protection locked="0"/>
    </xf>
    <xf numFmtId="0" fontId="1" fillId="0" borderId="0" xfId="0" applyFont="1" applyAlignment="1" applyProtection="1">
      <alignment horizontal="center"/>
      <protection locked="0"/>
    </xf>
    <xf numFmtId="166" fontId="10" fillId="2" borderId="10" xfId="0" applyNumberFormat="1" applyFont="1" applyFill="1" applyBorder="1" applyAlignment="1" applyProtection="1">
      <alignment horizontal="left" vertical="center"/>
      <protection locked="0"/>
    </xf>
    <xf numFmtId="166" fontId="1" fillId="0" borderId="0" xfId="0" applyNumberFormat="1" applyFont="1" applyAlignment="1" applyProtection="1">
      <alignment horizontal="center"/>
      <protection locked="0"/>
    </xf>
    <xf numFmtId="166" fontId="1" fillId="0" borderId="0" xfId="3" applyNumberFormat="1" applyFont="1" applyFill="1" applyBorder="1" applyAlignment="1" applyProtection="1">
      <alignment horizontal="center"/>
      <protection locked="0"/>
    </xf>
    <xf numFmtId="166" fontId="11" fillId="0" borderId="0" xfId="0" applyNumberFormat="1" applyFont="1" applyAlignment="1" applyProtection="1">
      <alignment horizontal="center"/>
      <protection locked="0"/>
    </xf>
    <xf numFmtId="166" fontId="1" fillId="3" borderId="0" xfId="3" applyNumberFormat="1" applyFont="1" applyFill="1" applyBorder="1" applyAlignment="1" applyProtection="1">
      <alignment horizontal="center"/>
    </xf>
    <xf numFmtId="166" fontId="1" fillId="0" borderId="0" xfId="0" applyNumberFormat="1" applyFont="1" applyAlignment="1">
      <alignment horizontal="center"/>
    </xf>
    <xf numFmtId="165" fontId="1" fillId="0" borderId="0" xfId="0" applyNumberFormat="1" applyFont="1"/>
    <xf numFmtId="0" fontId="10" fillId="0" borderId="0" xfId="0" applyFont="1"/>
    <xf numFmtId="165" fontId="18" fillId="4" borderId="0" xfId="3" applyNumberFormat="1" applyFont="1" applyFill="1" applyBorder="1" applyAlignment="1">
      <alignment vertical="center"/>
    </xf>
    <xf numFmtId="165" fontId="19" fillId="4" borderId="0" xfId="3" applyNumberFormat="1" applyFont="1" applyFill="1" applyBorder="1" applyAlignment="1">
      <alignment vertical="center"/>
    </xf>
    <xf numFmtId="165" fontId="18" fillId="4" borderId="12" xfId="3" applyNumberFormat="1" applyFont="1" applyFill="1" applyBorder="1" applyAlignment="1">
      <alignment vertical="center"/>
    </xf>
    <xf numFmtId="165" fontId="19" fillId="4" borderId="12" xfId="3" applyNumberFormat="1" applyFont="1" applyFill="1" applyBorder="1" applyAlignment="1">
      <alignment vertical="center"/>
    </xf>
    <xf numFmtId="165" fontId="1" fillId="3" borderId="0" xfId="3" applyNumberFormat="1" applyFont="1" applyFill="1" applyBorder="1" applyAlignment="1" applyProtection="1">
      <alignment horizontal="center"/>
    </xf>
    <xf numFmtId="165" fontId="1" fillId="0" borderId="0" xfId="3" applyNumberFormat="1" applyFont="1" applyFill="1" applyBorder="1" applyAlignment="1" applyProtection="1">
      <alignment horizontal="center"/>
    </xf>
    <xf numFmtId="0" fontId="1" fillId="0" borderId="0" xfId="3" applyNumberFormat="1" applyFont="1" applyFill="1" applyBorder="1" applyAlignment="1" applyProtection="1">
      <alignment horizontal="center"/>
    </xf>
    <xf numFmtId="9" fontId="1" fillId="3" borderId="0" xfId="4" applyFont="1" applyFill="1" applyBorder="1" applyAlignment="1" applyProtection="1">
      <alignment horizontal="center"/>
    </xf>
    <xf numFmtId="1" fontId="1" fillId="3" borderId="0" xfId="3" applyNumberFormat="1" applyFont="1" applyFill="1" applyBorder="1" applyAlignment="1" applyProtection="1">
      <alignment horizontal="center"/>
    </xf>
    <xf numFmtId="167" fontId="1" fillId="3" borderId="0" xfId="0" applyNumberFormat="1" applyFont="1" applyFill="1" applyAlignment="1">
      <alignment horizontal="center"/>
    </xf>
    <xf numFmtId="9" fontId="0" fillId="3" borderId="0" xfId="4" applyFont="1" applyFill="1" applyBorder="1" applyAlignment="1" applyProtection="1">
      <alignment horizontal="center"/>
    </xf>
    <xf numFmtId="0" fontId="1" fillId="0" borderId="0" xfId="0" applyFont="1" applyAlignment="1">
      <alignment horizontal="center"/>
    </xf>
    <xf numFmtId="0" fontId="0" fillId="0" borderId="0" xfId="0" applyAlignment="1" applyProtection="1">
      <alignment horizontal="center"/>
      <protection locked="0"/>
    </xf>
    <xf numFmtId="0" fontId="0" fillId="0" borderId="0" xfId="0" pivotButton="1"/>
    <xf numFmtId="0" fontId="0" fillId="0" borderId="0" xfId="0" applyAlignment="1">
      <alignment horizontal="left"/>
    </xf>
    <xf numFmtId="9" fontId="0" fillId="0" borderId="0" xfId="0" applyNumberFormat="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1" fontId="0" fillId="0" borderId="0" xfId="0" applyNumberFormat="1"/>
    <xf numFmtId="9" fontId="22" fillId="4" borderId="12" xfId="4" applyFont="1" applyFill="1" applyBorder="1" applyAlignment="1">
      <alignment vertical="center"/>
    </xf>
    <xf numFmtId="0" fontId="11" fillId="0" borderId="22" xfId="0" applyFont="1" applyBorder="1"/>
    <xf numFmtId="0" fontId="27" fillId="0" borderId="22" xfId="0" applyFont="1" applyBorder="1"/>
    <xf numFmtId="0" fontId="20" fillId="0" borderId="22" xfId="0" applyFont="1" applyBorder="1"/>
    <xf numFmtId="0" fontId="24" fillId="0" borderId="22" xfId="0" applyFont="1" applyBorder="1"/>
    <xf numFmtId="9" fontId="20" fillId="0" borderId="22" xfId="4" applyFont="1" applyBorder="1"/>
    <xf numFmtId="9" fontId="24" fillId="0" borderId="22" xfId="4" applyFont="1" applyBorder="1"/>
    <xf numFmtId="9" fontId="24" fillId="4" borderId="0" xfId="4" applyFont="1" applyFill="1" applyBorder="1" applyAlignment="1">
      <alignment horizontal="center" vertical="center"/>
    </xf>
    <xf numFmtId="169" fontId="29" fillId="4" borderId="0" xfId="3" applyNumberFormat="1" applyFont="1" applyFill="1" applyBorder="1" applyAlignment="1">
      <alignment vertical="center"/>
    </xf>
    <xf numFmtId="165" fontId="18" fillId="4" borderId="23" xfId="3" applyNumberFormat="1" applyFont="1" applyFill="1" applyBorder="1" applyAlignment="1">
      <alignment vertical="center"/>
    </xf>
    <xf numFmtId="165" fontId="18" fillId="4" borderId="25" xfId="3" applyNumberFormat="1" applyFont="1" applyFill="1" applyBorder="1" applyAlignment="1">
      <alignment vertical="center"/>
    </xf>
    <xf numFmtId="9" fontId="22" fillId="4" borderId="27" xfId="4" applyFont="1" applyFill="1" applyBorder="1" applyAlignment="1">
      <alignment vertical="center"/>
    </xf>
    <xf numFmtId="9" fontId="22" fillId="4" borderId="0" xfId="4" applyFont="1" applyFill="1" applyBorder="1" applyAlignment="1">
      <alignment vertical="center"/>
    </xf>
    <xf numFmtId="0" fontId="24" fillId="4" borderId="0" xfId="4" applyNumberFormat="1" applyFont="1" applyFill="1" applyBorder="1" applyAlignment="1">
      <alignment horizontal="center" vertical="center"/>
    </xf>
    <xf numFmtId="1" fontId="24" fillId="4" borderId="0" xfId="4" applyNumberFormat="1" applyFont="1" applyFill="1" applyBorder="1" applyAlignment="1">
      <alignment horizontal="center" vertical="center"/>
    </xf>
    <xf numFmtId="9" fontId="22" fillId="4" borderId="28" xfId="4" applyFont="1" applyFill="1" applyBorder="1" applyAlignment="1">
      <alignment vertical="center"/>
    </xf>
    <xf numFmtId="9" fontId="11" fillId="4" borderId="27" xfId="4" applyFont="1" applyFill="1" applyBorder="1" applyAlignment="1">
      <alignment horizontal="left" vertical="center"/>
    </xf>
    <xf numFmtId="9" fontId="25" fillId="4" borderId="27" xfId="4" applyFont="1" applyFill="1" applyBorder="1" applyAlignment="1">
      <alignment horizontal="left" vertical="center"/>
    </xf>
    <xf numFmtId="0" fontId="31" fillId="0" borderId="0" xfId="0" applyFont="1"/>
    <xf numFmtId="0" fontId="0" fillId="0" borderId="0" xfId="0" applyAlignment="1">
      <alignment horizontal="left" indent="1"/>
    </xf>
    <xf numFmtId="166" fontId="0" fillId="0" borderId="0" xfId="0" applyNumberFormat="1"/>
    <xf numFmtId="166" fontId="0" fillId="0" borderId="16" xfId="0" applyNumberFormat="1" applyBorder="1"/>
    <xf numFmtId="166" fontId="0" fillId="0" borderId="17" xfId="0" applyNumberFormat="1" applyBorder="1"/>
    <xf numFmtId="166" fontId="0" fillId="0" borderId="18" xfId="0" applyNumberFormat="1" applyBorder="1"/>
    <xf numFmtId="166" fontId="0" fillId="0" borderId="19" xfId="0" applyNumberFormat="1" applyBorder="1"/>
    <xf numFmtId="166" fontId="0" fillId="0" borderId="20" xfId="0" applyNumberFormat="1" applyBorder="1"/>
    <xf numFmtId="166" fontId="0" fillId="0" borderId="21" xfId="0" applyNumberFormat="1" applyBorder="1"/>
    <xf numFmtId="165" fontId="0" fillId="0" borderId="0" xfId="0" applyNumberFormat="1"/>
    <xf numFmtId="0" fontId="24" fillId="0" borderId="0" xfId="0" applyFont="1"/>
    <xf numFmtId="0" fontId="32" fillId="0" borderId="0" xfId="0" applyFont="1"/>
    <xf numFmtId="0" fontId="1" fillId="0" borderId="0" xfId="0" applyFont="1" applyAlignment="1">
      <alignment horizontal="left"/>
    </xf>
    <xf numFmtId="0" fontId="2" fillId="0" borderId="0" xfId="0" applyFont="1" applyAlignment="1">
      <alignment horizontal="right"/>
    </xf>
    <xf numFmtId="0" fontId="1" fillId="0" borderId="0" xfId="5"/>
    <xf numFmtId="0" fontId="6" fillId="0" borderId="0" xfId="2"/>
    <xf numFmtId="165" fontId="21" fillId="4" borderId="0" xfId="3" applyNumberFormat="1" applyFont="1" applyFill="1" applyBorder="1" applyAlignment="1">
      <alignment horizontal="left" vertical="center"/>
    </xf>
    <xf numFmtId="165" fontId="21" fillId="4" borderId="23" xfId="3" applyNumberFormat="1" applyFont="1" applyFill="1" applyBorder="1" applyAlignment="1">
      <alignment horizontal="left" vertical="center"/>
    </xf>
    <xf numFmtId="165" fontId="18" fillId="4" borderId="23" xfId="3" applyNumberFormat="1" applyFont="1" applyFill="1" applyBorder="1" applyAlignment="1">
      <alignment horizontal="center" vertical="center"/>
    </xf>
    <xf numFmtId="165" fontId="18" fillId="4" borderId="0" xfId="3" applyNumberFormat="1" applyFont="1" applyFill="1" applyBorder="1" applyAlignment="1">
      <alignment horizontal="center" vertical="center"/>
    </xf>
    <xf numFmtId="0" fontId="10" fillId="2" borderId="0" xfId="0" applyFont="1" applyFill="1" applyAlignment="1">
      <alignment horizontal="center"/>
    </xf>
    <xf numFmtId="0" fontId="26" fillId="2" borderId="0" xfId="0" applyFont="1" applyFill="1" applyAlignment="1">
      <alignment horizontal="center" vertical="center" wrapText="1"/>
    </xf>
    <xf numFmtId="0" fontId="26" fillId="2" borderId="12" xfId="0" applyFont="1" applyFill="1" applyBorder="1" applyAlignment="1">
      <alignment horizontal="center" vertical="center" wrapText="1"/>
    </xf>
    <xf numFmtId="0" fontId="23" fillId="4" borderId="0" xfId="0" applyFont="1" applyFill="1" applyAlignment="1">
      <alignment horizontal="center"/>
    </xf>
    <xf numFmtId="0" fontId="23" fillId="4" borderId="30" xfId="0" applyFont="1" applyFill="1" applyBorder="1" applyAlignment="1">
      <alignment horizontal="center"/>
    </xf>
    <xf numFmtId="0" fontId="28" fillId="4" borderId="0" xfId="0" applyFont="1" applyFill="1" applyAlignment="1">
      <alignment horizontal="center" vertical="center"/>
    </xf>
    <xf numFmtId="0" fontId="28" fillId="4" borderId="30" xfId="0" applyFont="1" applyFill="1" applyBorder="1" applyAlignment="1">
      <alignment horizontal="center" vertical="center"/>
    </xf>
    <xf numFmtId="0" fontId="28" fillId="4" borderId="12" xfId="0" applyFont="1" applyFill="1" applyBorder="1" applyAlignment="1">
      <alignment horizontal="center" vertical="center"/>
    </xf>
    <xf numFmtId="0" fontId="28" fillId="4" borderId="29" xfId="0" applyFont="1" applyFill="1" applyBorder="1" applyAlignment="1">
      <alignment horizontal="center" vertical="center"/>
    </xf>
    <xf numFmtId="9" fontId="22" fillId="4" borderId="24" xfId="4" applyFont="1" applyFill="1" applyBorder="1" applyAlignment="1">
      <alignment horizontal="center" vertical="center"/>
    </xf>
    <xf numFmtId="9" fontId="22" fillId="4" borderId="26" xfId="4" applyFont="1" applyFill="1" applyBorder="1" applyAlignment="1">
      <alignment horizontal="center" vertical="center"/>
    </xf>
    <xf numFmtId="9" fontId="22" fillId="4" borderId="0" xfId="4" applyFont="1" applyFill="1" applyAlignment="1">
      <alignment horizontal="center" vertical="center"/>
    </xf>
    <xf numFmtId="9" fontId="22" fillId="4" borderId="12" xfId="4" applyFont="1" applyFill="1" applyBorder="1" applyAlignment="1">
      <alignment horizontal="center" vertical="center"/>
    </xf>
    <xf numFmtId="0" fontId="23" fillId="4" borderId="27" xfId="0" applyFont="1" applyFill="1" applyBorder="1" applyAlignment="1">
      <alignment horizontal="center"/>
    </xf>
    <xf numFmtId="0" fontId="23" fillId="4" borderId="24" xfId="0" applyFont="1" applyFill="1" applyBorder="1" applyAlignment="1">
      <alignment horizontal="center"/>
    </xf>
    <xf numFmtId="0" fontId="23" fillId="4" borderId="23" xfId="0" applyFont="1" applyFill="1" applyBorder="1" applyAlignment="1">
      <alignment horizontal="center"/>
    </xf>
    <xf numFmtId="169" fontId="30" fillId="4" borderId="0" xfId="3" applyNumberFormat="1" applyFont="1" applyFill="1" applyBorder="1" applyAlignment="1">
      <alignment horizontal="center" vertical="center"/>
    </xf>
    <xf numFmtId="169" fontId="30" fillId="4" borderId="24" xfId="3" applyNumberFormat="1" applyFont="1" applyFill="1" applyBorder="1" applyAlignment="1">
      <alignment horizontal="center" vertical="center"/>
    </xf>
    <xf numFmtId="169" fontId="30" fillId="4" borderId="12" xfId="3" applyNumberFormat="1" applyFont="1" applyFill="1" applyBorder="1" applyAlignment="1">
      <alignment horizontal="center" vertical="center"/>
    </xf>
    <xf numFmtId="169" fontId="30" fillId="4" borderId="26" xfId="3" applyNumberFormat="1" applyFont="1" applyFill="1" applyBorder="1" applyAlignment="1">
      <alignment horizontal="center" vertical="center"/>
    </xf>
    <xf numFmtId="0" fontId="13" fillId="2" borderId="3" xfId="0" applyFont="1" applyFill="1" applyBorder="1" applyAlignment="1">
      <alignment horizontal="center"/>
    </xf>
    <xf numFmtId="168" fontId="1" fillId="5" borderId="4" xfId="0" applyNumberFormat="1" applyFont="1" applyFill="1" applyBorder="1" applyAlignment="1" applyProtection="1">
      <alignment horizontal="center"/>
      <protection locked="0"/>
    </xf>
    <xf numFmtId="168" fontId="1" fillId="5" borderId="5" xfId="0" applyNumberFormat="1" applyFont="1" applyFill="1" applyBorder="1" applyAlignment="1" applyProtection="1">
      <alignment horizontal="center"/>
      <protection locked="0"/>
    </xf>
    <xf numFmtId="166" fontId="1" fillId="5" borderId="4" xfId="0" applyNumberFormat="1" applyFont="1" applyFill="1" applyBorder="1" applyAlignment="1" applyProtection="1">
      <alignment horizontal="center"/>
      <protection locked="0"/>
    </xf>
    <xf numFmtId="166" fontId="1" fillId="5" borderId="5" xfId="0" applyNumberFormat="1" applyFont="1" applyFill="1" applyBorder="1" applyAlignment="1" applyProtection="1">
      <alignment horizontal="center"/>
      <protection locked="0"/>
    </xf>
    <xf numFmtId="0" fontId="16" fillId="4" borderId="8" xfId="0" applyFont="1" applyFill="1" applyBorder="1" applyAlignment="1">
      <alignment horizontal="center"/>
    </xf>
    <xf numFmtId="0" fontId="15" fillId="3" borderId="6" xfId="0" applyFont="1" applyFill="1" applyBorder="1" applyAlignment="1">
      <alignment horizontal="center" vertical="center"/>
    </xf>
    <xf numFmtId="0" fontId="15" fillId="3" borderId="7" xfId="0" applyFont="1" applyFill="1" applyBorder="1" applyAlignment="1">
      <alignment horizontal="center" vertical="center"/>
    </xf>
    <xf numFmtId="9" fontId="15" fillId="3" borderId="6" xfId="4" applyFont="1" applyFill="1" applyBorder="1" applyAlignment="1" applyProtection="1">
      <alignment horizontal="center" vertical="center"/>
    </xf>
    <xf numFmtId="9" fontId="15" fillId="3" borderId="7" xfId="4" applyFont="1" applyFill="1" applyBorder="1" applyAlignment="1" applyProtection="1">
      <alignment horizontal="center" vertical="center"/>
    </xf>
    <xf numFmtId="0" fontId="1" fillId="5" borderId="4" xfId="0" applyFont="1" applyFill="1" applyBorder="1" applyAlignment="1" applyProtection="1">
      <alignment horizontal="center"/>
      <protection locked="0"/>
    </xf>
    <xf numFmtId="0" fontId="1" fillId="5" borderId="5" xfId="0" applyFont="1" applyFill="1" applyBorder="1" applyAlignment="1" applyProtection="1">
      <alignment horizontal="center"/>
      <protection locked="0"/>
    </xf>
    <xf numFmtId="166" fontId="15" fillId="3" borderId="6" xfId="0" applyNumberFormat="1" applyFont="1" applyFill="1" applyBorder="1" applyAlignment="1">
      <alignment horizontal="center" vertical="center"/>
    </xf>
    <xf numFmtId="166" fontId="15" fillId="3" borderId="7" xfId="0" applyNumberFormat="1" applyFont="1" applyFill="1" applyBorder="1" applyAlignment="1">
      <alignment horizontal="center" vertical="center"/>
    </xf>
  </cellXfs>
  <cellStyles count="6">
    <cellStyle name="Comma" xfId="3" builtinId="3"/>
    <cellStyle name="Hyperlink" xfId="2" builtinId="8"/>
    <cellStyle name="Normal" xfId="0" builtinId="0"/>
    <cellStyle name="Normal 2" xfId="1" xr:uid="{4C4B56A4-5300-4763-9054-91E1974E06C1}"/>
    <cellStyle name="Normal 2 2" xfId="5" xr:uid="{B2544969-A00D-4C23-8F78-0741EDD59BD2}"/>
    <cellStyle name="Percent" xfId="4" builtinId="5"/>
  </cellStyles>
  <dxfs count="91">
    <dxf>
      <numFmt numFmtId="13" formatCode="0%"/>
    </dxf>
    <dxf>
      <numFmt numFmtId="165" formatCode="_(* #,##0_);_(* \(#,##0\);_(* &quot;-&quot;??_);_(@_)"/>
    </dxf>
    <dxf>
      <font>
        <color theme="0"/>
      </font>
      <fill>
        <patternFill>
          <bgColor rgb="FFC00000"/>
        </patternFill>
      </fill>
    </dxf>
    <dxf>
      <font>
        <color theme="0" tint="-0.499984740745262"/>
      </font>
      <fill>
        <patternFill>
          <bgColor rgb="FFF5EE59"/>
        </patternFill>
      </fill>
    </dxf>
    <dxf>
      <font>
        <color theme="0"/>
      </font>
      <fill>
        <patternFill>
          <bgColor rgb="FF92D050"/>
        </patternFill>
      </fill>
    </dxf>
    <dxf>
      <font>
        <color theme="0"/>
      </font>
      <fill>
        <patternFill>
          <bgColor rgb="FFC00000"/>
        </patternFill>
      </fill>
    </dxf>
    <dxf>
      <font>
        <color theme="0" tint="-0.499984740745262"/>
      </font>
      <fill>
        <patternFill>
          <bgColor rgb="FFF5EE59"/>
        </patternFill>
      </fill>
    </dxf>
    <dxf>
      <font>
        <color theme="0"/>
      </font>
      <fill>
        <patternFill>
          <bgColor rgb="FF92D050"/>
        </patternFill>
      </fill>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center" vertical="bottom" textRotation="0" wrapText="0" indent="0" justifyLastLine="0" shrinkToFit="0" readingOrder="0"/>
      <protection locked="1" hidden="0"/>
    </dxf>
    <dxf>
      <fill>
        <patternFill patternType="solid">
          <fgColor indexed="64"/>
          <bgColor theme="0" tint="-0.14999847407452621"/>
        </patternFill>
      </fill>
      <alignment horizontal="center" vertical="bottom" textRotation="0" wrapText="0" indent="0" justifyLastLine="0" shrinkToFit="0" readingOrder="0"/>
      <protection locked="1" hidden="0"/>
    </dxf>
    <dxf>
      <numFmt numFmtId="13" formatCode="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7" formatCode="_(* #,##0.0_);_(* \(#,##0.0\);_(* &quot;-&quot;??_);_(@_)"/>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7" formatCode="_(* #,##0.0_);_(* \(#,##0.0\);_(* &quot;-&quot;??_);_(@_)"/>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5" formatCode="_(* #,##0_);_(* \(#,##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5" formatCode="_(* #,##0_);_(* \(#,##0\);_(* &quot;-&quot;??_);_(@_)"/>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5" formatCode="_(* #,##0_);_(* \(#,##0\);_(* &quot;-&quot;??_);_(@_)"/>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family val="2"/>
        <scheme val="none"/>
      </font>
      <numFmt numFmtId="166" formatCode="0.0"/>
      <fill>
        <patternFill patternType="solid">
          <fgColor indexed="64"/>
          <bgColor theme="0" tint="-0.14999847407452621"/>
        </patternFill>
      </fill>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6" formatCode="0.0"/>
      <fill>
        <patternFill patternType="solid">
          <fgColor indexed="64"/>
          <bgColor theme="0" tint="-0.1499984740745262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6" formatCode="0.0"/>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6" formatCode="0.0"/>
      <fill>
        <patternFill patternType="solid">
          <fgColor indexed="64"/>
          <bgColor theme="0" tint="-0.14999847407452621"/>
        </patternFill>
      </fill>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166" formatCode="0.0"/>
      <fill>
        <patternFill patternType="none">
          <fgColor indexed="64"/>
          <bgColor indexed="65"/>
        </patternFill>
      </fill>
      <alignment horizont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70" formatCode="mm/dd/yyyy"/>
      <fill>
        <patternFill patternType="none">
          <fgColor indexed="64"/>
          <bgColor indexed="65"/>
        </patternFill>
      </fill>
      <alignment horizontal="left" vertical="bottom" textRotation="0" wrapText="0" indent="0" justifyLastLine="0" shrinkToFit="0" readingOrder="0"/>
      <protection locked="0" hidden="0"/>
    </dxf>
    <dxf>
      <border outline="0">
        <top style="thin">
          <color theme="0" tint="-0.14993743705557422"/>
        </top>
      </border>
    </dxf>
    <dxf>
      <border outline="0">
        <left style="thin">
          <color theme="0" tint="-0.14993743705557422"/>
        </left>
        <top style="thin">
          <color theme="0" tint="-0.14996795556505021"/>
        </top>
        <bottom style="thin">
          <color theme="0" tint="-0.14993743705557422"/>
        </bottom>
      </border>
    </dxf>
    <dxf>
      <border outline="0">
        <bottom style="thin">
          <color theme="0" tint="-0.14993743705557422"/>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left" vertical="center" textRotation="0" wrapText="0" indent="0" justifyLastLine="0" shrinkToFit="0" readingOrder="0"/>
      <border diagonalUp="0" diagonalDown="0" outline="0">
        <left style="thin">
          <color theme="0" tint="-0.14993743705557422"/>
        </left>
        <right style="thin">
          <color theme="0" tint="-0.14993743705557422"/>
        </right>
        <top/>
        <bottom/>
      </border>
      <protection locked="0" hidden="0"/>
    </dxf>
    <dxf>
      <numFmt numFmtId="13" formatCode="0%"/>
    </dxf>
    <dxf>
      <numFmt numFmtId="13" formatCode="0%"/>
    </dxf>
    <dxf>
      <numFmt numFmtId="166" formatCode="0.0"/>
    </dxf>
    <dxf>
      <numFmt numFmtId="1" formatCode="0"/>
    </dxf>
    <dxf>
      <numFmt numFmtId="1"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165" formatCode="_(* #,##0_);_(* \(#,##0\);_(* &quot;-&quot;??_);_(@_)"/>
    </dxf>
    <dxf>
      <numFmt numFmtId="13" formatCode="0%"/>
    </dxf>
    <dxf>
      <numFmt numFmtId="166" formatCode="0.0"/>
    </dxf>
    <dxf>
      <font>
        <color rgb="FFC00000"/>
      </font>
      <fill>
        <patternFill>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color rgb="FFC00000"/>
      </font>
      <fill>
        <patternFill patternType="solid">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rgb="FFE6AF00"/>
      </font>
      <fill>
        <patternFill>
          <bgColor theme="0" tint="-4.9989318521683403E-2"/>
        </patternFill>
      </fill>
    </dxf>
    <dxf>
      <font>
        <color rgb="FF50B47F"/>
      </font>
      <fill>
        <patternFill>
          <bgColor theme="0" tint="-4.9989318521683403E-2"/>
        </patternFill>
      </fil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8FCFAD"/>
        </patternFill>
      </fill>
    </dxf>
    <dxf>
      <fill>
        <patternFill>
          <bgColor rgb="FF8FCFAD"/>
        </patternFill>
      </fill>
    </dxf>
    <dxf>
      <fill>
        <patternFill>
          <bgColor rgb="FF8FCFAD"/>
        </patternFill>
      </fill>
    </dxf>
    <dxf>
      <fill>
        <patternFill>
          <bgColor rgb="FF8FCFAD"/>
        </patternFill>
      </fill>
    </dxf>
    <dxf>
      <border>
        <left style="thin">
          <color theme="0" tint="-0.34998626667073579"/>
        </left>
        <right style="thin">
          <color theme="0" tint="-0.34998626667073579"/>
        </right>
        <top style="thin">
          <color theme="0" tint="-0.34998626667073579"/>
        </top>
        <bottom style="thin">
          <color theme="0" tint="-0.34998626667073579"/>
        </bottom>
      </border>
    </dxf>
  </dxfs>
  <tableStyles count="8" defaultTableStyle="TableStyleMedium2" defaultPivotStyle="PivotStyleLight16">
    <tableStyle name="Slicer Style 1" pivot="0" table="0" count="8" xr9:uid="{7FB9B135-F5CE-4F6A-B6F8-2066CB088C41}">
      <tableStyleElement type="wholeTable" dxfId="90"/>
    </tableStyle>
    <tableStyle name="Table Style 1" pivot="0" count="1" xr9:uid="{BB7F0C67-185F-4631-93AA-BD2E768D7A13}">
      <tableStyleElement type="wholeTable" dxfId="89"/>
    </tableStyle>
    <tableStyle name="Table Style 2" pivot="0" count="1" xr9:uid="{3D276D6F-F8EC-4105-AF4E-EF90E0497490}">
      <tableStyleElement type="secondColumnStripe" dxfId="88"/>
    </tableStyle>
    <tableStyle name="Table Style 3" pivot="0" count="1" xr9:uid="{58126073-47CA-432E-9930-0966B1055812}">
      <tableStyleElement type="firstColumnStripe" dxfId="87"/>
    </tableStyle>
    <tableStyle name="Table Style 4" pivot="0" count="1" xr9:uid="{5E1F8E05-1701-4D75-BC47-9223CD34FC6B}">
      <tableStyleElement type="firstRowStripe" dxfId="86"/>
    </tableStyle>
    <tableStyle name="Timeline Style 1" pivot="0" table="0" count="8" xr9:uid="{C2E335C9-31F7-40A6-909D-A0A242EC80DD}">
      <tableStyleElement type="wholeTable" dxfId="85"/>
      <tableStyleElement type="headerRow" dxfId="84"/>
    </tableStyle>
    <tableStyle name="Timeline Style 2" pivot="0" table="0" count="8" xr9:uid="{BD7D3DEA-9F17-4B02-A38B-A505F988F17B}">
      <tableStyleElement type="wholeTable" dxfId="83"/>
      <tableStyleElement type="headerRow" dxfId="82"/>
    </tableStyle>
    <tableStyle name="Timeline Style 3" pivot="0" table="0" count="9" xr9:uid="{03AB8773-F939-4292-A158-497A8B257D1F}">
      <tableStyleElement type="wholeTable" dxfId="81"/>
      <tableStyleElement type="headerRow" dxfId="80"/>
    </tableStyle>
  </tableStyles>
  <colors>
    <mruColors>
      <color rgb="FF50B47F"/>
      <color rgb="FF8FCFAD"/>
      <color rgb="FFA32319"/>
      <color rgb="FFE6AF00"/>
      <color rgb="FFF5EE59"/>
      <color rgb="FFDAC108"/>
      <color rgb="FFF8F200"/>
      <color rgb="FFE8E8E8"/>
      <color rgb="FFEEEEEE"/>
      <color rgb="FFE6E6E6"/>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19">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1/relationships/timelineCache" Target="timelineCaches/timelineCach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A90B-4BE2-844C-62B477E273E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[Operations_ManufacturingKPIManagement.xlsm]Sheet1!Achieve trend</c:name>
    <c:fmtId val="2"/>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Plan Achievement % VS Total Approved</a:t>
            </a:r>
            <a:r>
              <a:rPr lang="en-US" b="1" baseline="0">
                <a:solidFill>
                  <a:srgbClr val="50B47F"/>
                </a:solidFill>
                <a:latin typeface="Arial" panose="020B0604020202020204" pitchFamily="34" charset="0"/>
                <a:cs typeface="Arial" panose="020B0604020202020204" pitchFamily="34" charset="0"/>
              </a:rPr>
              <a:t> Units</a:t>
            </a:r>
            <a:endParaRPr lang="en-US" b="1">
              <a:solidFill>
                <a:srgbClr val="50B47F"/>
              </a:solidFill>
              <a:latin typeface="Arial" panose="020B0604020202020204" pitchFamily="34" charset="0"/>
              <a:cs typeface="Arial" panose="020B0604020202020204" pitchFamily="34" charset="0"/>
            </a:endParaRPr>
          </a:p>
        </c:rich>
      </c:tx>
      <c:layout>
        <c:manualLayout>
          <c:xMode val="edge"/>
          <c:yMode val="edge"/>
          <c:x val="0.42045802823160161"/>
          <c:y val="1.212121790561579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lumMod val="65000"/>
              </a:schemeClr>
            </a:solidFill>
            <a:round/>
          </a:ln>
          <a:effectLst/>
        </c:spPr>
        <c:marker>
          <c:symbol val="circle"/>
          <c:size val="5"/>
          <c:spPr>
            <a:solidFill>
              <a:srgbClr val="A32319"/>
            </a:solidFill>
            <a:ln w="9525">
              <a:solidFill>
                <a:srgbClr val="A3231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396727645447655E-2"/>
          <c:y val="0.17327949094702505"/>
          <c:w val="0.94241308941820934"/>
          <c:h val="0.60506351947674519"/>
        </c:manualLayout>
      </c:layout>
      <c:barChart>
        <c:barDir val="col"/>
        <c:grouping val="clustered"/>
        <c:varyColors val="0"/>
        <c:ser>
          <c:idx val="1"/>
          <c:order val="1"/>
          <c:tx>
            <c:strRef>
              <c:f>Sheet1!$Z$3</c:f>
              <c:strCache>
                <c:ptCount val="1"/>
                <c:pt idx="0">
                  <c:v>Sum of Ok Quantity</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Sheet1!$X$4:$X$28</c:f>
              <c:multiLvlStrCache>
                <c:ptCount val="19"/>
                <c:lvl>
                  <c:pt idx="0">
                    <c:v>Qtr1</c:v>
                  </c:pt>
                  <c:pt idx="1">
                    <c:v>Qtr2</c:v>
                  </c:pt>
                  <c:pt idx="2">
                    <c:v>Qtr3</c:v>
                  </c:pt>
                  <c:pt idx="3">
                    <c:v>Qtr4</c:v>
                  </c:pt>
                  <c:pt idx="4">
                    <c:v>Qtr1</c:v>
                  </c:pt>
                  <c:pt idx="5">
                    <c:v>Qtr2</c:v>
                  </c:pt>
                  <c:pt idx="6">
                    <c:v>Qtr3</c:v>
                  </c:pt>
                  <c:pt idx="7">
                    <c:v>Qtr4</c:v>
                  </c:pt>
                  <c:pt idx="8">
                    <c:v>Qtr1</c:v>
                  </c:pt>
                  <c:pt idx="9">
                    <c:v>Qtr2</c:v>
                  </c:pt>
                  <c:pt idx="10">
                    <c:v>Qtr4</c:v>
                  </c:pt>
                  <c:pt idx="11">
                    <c:v>Qtr1</c:v>
                  </c:pt>
                  <c:pt idx="12">
                    <c:v>Qtr3</c:v>
                  </c:pt>
                  <c:pt idx="13">
                    <c:v>Qtr4</c:v>
                  </c:pt>
                  <c:pt idx="14">
                    <c:v>Qtr1</c:v>
                  </c:pt>
                  <c:pt idx="15">
                    <c:v>Qtr2</c:v>
                  </c:pt>
                  <c:pt idx="16">
                    <c:v>Qtr3</c:v>
                  </c:pt>
                  <c:pt idx="17">
                    <c:v>Qtr4</c:v>
                  </c:pt>
                  <c:pt idx="18">
                    <c:v>Qtr4</c:v>
                  </c:pt>
                </c:lvl>
                <c:lvl>
                  <c:pt idx="0">
                    <c:v>2015</c:v>
                  </c:pt>
                  <c:pt idx="4">
                    <c:v>2016</c:v>
                  </c:pt>
                  <c:pt idx="8">
                    <c:v>2017</c:v>
                  </c:pt>
                  <c:pt idx="11">
                    <c:v>2018</c:v>
                  </c:pt>
                  <c:pt idx="14">
                    <c:v>2019</c:v>
                  </c:pt>
                  <c:pt idx="18">
                    <c:v>2020</c:v>
                  </c:pt>
                </c:lvl>
              </c:multiLvlStrCache>
            </c:multiLvlStrRef>
          </c:cat>
          <c:val>
            <c:numRef>
              <c:f>Sheet1!$Z$4:$Z$28</c:f>
              <c:numCache>
                <c:formatCode>_(* #,##0_);_(* \(#,##0\);_(* "-"??_);_(@_)</c:formatCode>
                <c:ptCount val="19"/>
                <c:pt idx="0">
                  <c:v>3508</c:v>
                </c:pt>
                <c:pt idx="1">
                  <c:v>1409</c:v>
                </c:pt>
                <c:pt idx="2">
                  <c:v>3107</c:v>
                </c:pt>
                <c:pt idx="3">
                  <c:v>2716</c:v>
                </c:pt>
                <c:pt idx="4">
                  <c:v>2532</c:v>
                </c:pt>
                <c:pt idx="5">
                  <c:v>3244</c:v>
                </c:pt>
                <c:pt idx="6">
                  <c:v>2786</c:v>
                </c:pt>
                <c:pt idx="7">
                  <c:v>1818</c:v>
                </c:pt>
                <c:pt idx="8">
                  <c:v>2244</c:v>
                </c:pt>
                <c:pt idx="9">
                  <c:v>3590</c:v>
                </c:pt>
                <c:pt idx="10">
                  <c:v>496</c:v>
                </c:pt>
                <c:pt idx="11">
                  <c:v>3082</c:v>
                </c:pt>
                <c:pt idx="12">
                  <c:v>1398</c:v>
                </c:pt>
                <c:pt idx="13">
                  <c:v>861</c:v>
                </c:pt>
                <c:pt idx="14">
                  <c:v>3568</c:v>
                </c:pt>
                <c:pt idx="15">
                  <c:v>3227</c:v>
                </c:pt>
                <c:pt idx="16">
                  <c:v>2114</c:v>
                </c:pt>
                <c:pt idx="17">
                  <c:v>1764</c:v>
                </c:pt>
                <c:pt idx="18">
                  <c:v>463</c:v>
                </c:pt>
              </c:numCache>
            </c:numRef>
          </c:val>
          <c:extLst>
            <c:ext xmlns:c16="http://schemas.microsoft.com/office/drawing/2014/chart" uri="{C3380CC4-5D6E-409C-BE32-E72D297353CC}">
              <c16:uniqueId val="{00000001-BC48-4631-99FD-61B37B5DA37F}"/>
            </c:ext>
          </c:extLst>
        </c:ser>
        <c:dLbls>
          <c:showLegendKey val="0"/>
          <c:showVal val="0"/>
          <c:showCatName val="0"/>
          <c:showSerName val="0"/>
          <c:showPercent val="0"/>
          <c:showBubbleSize val="0"/>
        </c:dLbls>
        <c:gapWidth val="150"/>
        <c:axId val="1545685616"/>
        <c:axId val="1680126128"/>
      </c:barChart>
      <c:lineChart>
        <c:grouping val="standard"/>
        <c:varyColors val="0"/>
        <c:ser>
          <c:idx val="0"/>
          <c:order val="0"/>
          <c:tx>
            <c:strRef>
              <c:f>Sheet1!$Y$3</c:f>
              <c:strCache>
                <c:ptCount val="1"/>
                <c:pt idx="0">
                  <c:v>Average of Plan Achieve %</c:v>
                </c:pt>
              </c:strCache>
            </c:strRef>
          </c:tx>
          <c:spPr>
            <a:ln w="28575" cap="rnd">
              <a:solidFill>
                <a:schemeClr val="bg1">
                  <a:lumMod val="65000"/>
                </a:schemeClr>
              </a:solidFill>
              <a:round/>
            </a:ln>
            <a:effectLst/>
          </c:spPr>
          <c:marker>
            <c:symbol val="circle"/>
            <c:size val="5"/>
            <c:spPr>
              <a:solidFill>
                <a:srgbClr val="A32319"/>
              </a:solidFill>
              <a:ln w="9525">
                <a:solidFill>
                  <a:srgbClr val="A3231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Sheet1!$X$4:$X$28</c:f>
              <c:multiLvlStrCache>
                <c:ptCount val="19"/>
                <c:lvl>
                  <c:pt idx="0">
                    <c:v>Qtr1</c:v>
                  </c:pt>
                  <c:pt idx="1">
                    <c:v>Qtr2</c:v>
                  </c:pt>
                  <c:pt idx="2">
                    <c:v>Qtr3</c:v>
                  </c:pt>
                  <c:pt idx="3">
                    <c:v>Qtr4</c:v>
                  </c:pt>
                  <c:pt idx="4">
                    <c:v>Qtr1</c:v>
                  </c:pt>
                  <c:pt idx="5">
                    <c:v>Qtr2</c:v>
                  </c:pt>
                  <c:pt idx="6">
                    <c:v>Qtr3</c:v>
                  </c:pt>
                  <c:pt idx="7">
                    <c:v>Qtr4</c:v>
                  </c:pt>
                  <c:pt idx="8">
                    <c:v>Qtr1</c:v>
                  </c:pt>
                  <c:pt idx="9">
                    <c:v>Qtr2</c:v>
                  </c:pt>
                  <c:pt idx="10">
                    <c:v>Qtr4</c:v>
                  </c:pt>
                  <c:pt idx="11">
                    <c:v>Qtr1</c:v>
                  </c:pt>
                  <c:pt idx="12">
                    <c:v>Qtr3</c:v>
                  </c:pt>
                  <c:pt idx="13">
                    <c:v>Qtr4</c:v>
                  </c:pt>
                  <c:pt idx="14">
                    <c:v>Qtr1</c:v>
                  </c:pt>
                  <c:pt idx="15">
                    <c:v>Qtr2</c:v>
                  </c:pt>
                  <c:pt idx="16">
                    <c:v>Qtr3</c:v>
                  </c:pt>
                  <c:pt idx="17">
                    <c:v>Qtr4</c:v>
                  </c:pt>
                  <c:pt idx="18">
                    <c:v>Qtr4</c:v>
                  </c:pt>
                </c:lvl>
                <c:lvl>
                  <c:pt idx="0">
                    <c:v>2015</c:v>
                  </c:pt>
                  <c:pt idx="4">
                    <c:v>2016</c:v>
                  </c:pt>
                  <c:pt idx="8">
                    <c:v>2017</c:v>
                  </c:pt>
                  <c:pt idx="11">
                    <c:v>2018</c:v>
                  </c:pt>
                  <c:pt idx="14">
                    <c:v>2019</c:v>
                  </c:pt>
                  <c:pt idx="18">
                    <c:v>2020</c:v>
                  </c:pt>
                </c:lvl>
              </c:multiLvlStrCache>
            </c:multiLvlStrRef>
          </c:cat>
          <c:val>
            <c:numRef>
              <c:f>Sheet1!$Y$4:$Y$28</c:f>
              <c:numCache>
                <c:formatCode>0%</c:formatCode>
                <c:ptCount val="19"/>
                <c:pt idx="0">
                  <c:v>0.66035714285714298</c:v>
                </c:pt>
                <c:pt idx="1">
                  <c:v>0.71406084656084656</c:v>
                </c:pt>
                <c:pt idx="2">
                  <c:v>0.66626984126984123</c:v>
                </c:pt>
                <c:pt idx="3">
                  <c:v>0.73218915343915336</c:v>
                </c:pt>
                <c:pt idx="4">
                  <c:v>0.64515211640211645</c:v>
                </c:pt>
                <c:pt idx="5">
                  <c:v>0.74261904761904762</c:v>
                </c:pt>
                <c:pt idx="6">
                  <c:v>0.70425925925925925</c:v>
                </c:pt>
                <c:pt idx="7">
                  <c:v>0.69968253968253968</c:v>
                </c:pt>
                <c:pt idx="8">
                  <c:v>0.7229444444444445</c:v>
                </c:pt>
                <c:pt idx="9">
                  <c:v>0.69212797619047617</c:v>
                </c:pt>
                <c:pt idx="10">
                  <c:v>0.72825396825396826</c:v>
                </c:pt>
                <c:pt idx="11">
                  <c:v>0.70214852607709755</c:v>
                </c:pt>
                <c:pt idx="12">
                  <c:v>0.73968253968253972</c:v>
                </c:pt>
                <c:pt idx="13">
                  <c:v>0.71750000000000003</c:v>
                </c:pt>
                <c:pt idx="14">
                  <c:v>0.67330853174603167</c:v>
                </c:pt>
                <c:pt idx="15">
                  <c:v>0.70879251700680279</c:v>
                </c:pt>
                <c:pt idx="16">
                  <c:v>0.66776190476190478</c:v>
                </c:pt>
                <c:pt idx="17">
                  <c:v>0.6684821428571428</c:v>
                </c:pt>
                <c:pt idx="18">
                  <c:v>0.6430555555555556</c:v>
                </c:pt>
              </c:numCache>
            </c:numRef>
          </c:val>
          <c:smooth val="0"/>
          <c:extLst>
            <c:ext xmlns:c16="http://schemas.microsoft.com/office/drawing/2014/chart" uri="{C3380CC4-5D6E-409C-BE32-E72D297353CC}">
              <c16:uniqueId val="{00000003-D95F-46E7-B86C-1C10E1863846}"/>
            </c:ext>
          </c:extLst>
        </c:ser>
        <c:dLbls>
          <c:showLegendKey val="0"/>
          <c:showVal val="0"/>
          <c:showCatName val="0"/>
          <c:showSerName val="0"/>
          <c:showPercent val="0"/>
          <c:showBubbleSize val="0"/>
        </c:dLbls>
        <c:marker val="1"/>
        <c:smooth val="0"/>
        <c:axId val="454169216"/>
        <c:axId val="530253056"/>
      </c:lineChart>
      <c:catAx>
        <c:axId val="1545685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126128"/>
        <c:crosses val="autoZero"/>
        <c:auto val="1"/>
        <c:lblAlgn val="ctr"/>
        <c:lblOffset val="100"/>
        <c:noMultiLvlLbl val="0"/>
      </c:catAx>
      <c:valAx>
        <c:axId val="1680126128"/>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685616"/>
        <c:crosses val="autoZero"/>
        <c:crossBetween val="between"/>
      </c:valAx>
      <c:valAx>
        <c:axId val="530253056"/>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169216"/>
        <c:crosses val="max"/>
        <c:crossBetween val="between"/>
      </c:valAx>
      <c:catAx>
        <c:axId val="454169216"/>
        <c:scaling>
          <c:orientation val="minMax"/>
        </c:scaling>
        <c:delete val="1"/>
        <c:axPos val="b"/>
        <c:numFmt formatCode="General" sourceLinked="1"/>
        <c:majorTickMark val="none"/>
        <c:minorTickMark val="none"/>
        <c:tickLblPos val="nextTo"/>
        <c:crossAx val="53025305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[Operations_ManufacturingKPIManagement.xlsm]Sheet1!MTBF</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Sheet1!$AC$3</c:f>
              <c:strCache>
                <c:ptCount val="1"/>
                <c:pt idx="0">
                  <c:v>Average of MTBF (Hrs)</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Sheet1!$AB$4:$AB$9</c:f>
              <c:strCache>
                <c:ptCount val="5"/>
                <c:pt idx="0">
                  <c:v>Line 1</c:v>
                </c:pt>
                <c:pt idx="1">
                  <c:v>Line 2</c:v>
                </c:pt>
                <c:pt idx="2">
                  <c:v>Line 3</c:v>
                </c:pt>
                <c:pt idx="3">
                  <c:v>Line 4</c:v>
                </c:pt>
                <c:pt idx="4">
                  <c:v>Line 5</c:v>
                </c:pt>
              </c:strCache>
            </c:strRef>
          </c:cat>
          <c:val>
            <c:numRef>
              <c:f>Sheet1!$AC$4:$AC$9</c:f>
              <c:numCache>
                <c:formatCode>0.0</c:formatCode>
                <c:ptCount val="5"/>
                <c:pt idx="0">
                  <c:v>4.875</c:v>
                </c:pt>
                <c:pt idx="1">
                  <c:v>4.1111111111111107</c:v>
                </c:pt>
                <c:pt idx="2">
                  <c:v>5.3125</c:v>
                </c:pt>
                <c:pt idx="3">
                  <c:v>4.087301587301587</c:v>
                </c:pt>
                <c:pt idx="4">
                  <c:v>3.2333333333333334</c:v>
                </c:pt>
              </c:numCache>
            </c:numRef>
          </c:val>
          <c:extLst>
            <c:ext xmlns:c16="http://schemas.microsoft.com/office/drawing/2014/chart" uri="{C3380CC4-5D6E-409C-BE32-E72D297353CC}">
              <c16:uniqueId val="{00000000-EB59-41AD-9F2D-E79DAEFA35AD}"/>
            </c:ext>
          </c:extLst>
        </c:ser>
        <c:ser>
          <c:idx val="1"/>
          <c:order val="1"/>
          <c:tx>
            <c:strRef>
              <c:f>Sheet1!$AD$3</c:f>
              <c:strCache>
                <c:ptCount val="1"/>
                <c:pt idx="0">
                  <c:v>Average of MTTR (Hrs)</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Sheet1!$AB$4:$AB$9</c:f>
              <c:strCache>
                <c:ptCount val="5"/>
                <c:pt idx="0">
                  <c:v>Line 1</c:v>
                </c:pt>
                <c:pt idx="1">
                  <c:v>Line 2</c:v>
                </c:pt>
                <c:pt idx="2">
                  <c:v>Line 3</c:v>
                </c:pt>
                <c:pt idx="3">
                  <c:v>Line 4</c:v>
                </c:pt>
                <c:pt idx="4">
                  <c:v>Line 5</c:v>
                </c:pt>
              </c:strCache>
            </c:strRef>
          </c:cat>
          <c:val>
            <c:numRef>
              <c:f>Sheet1!$AD$4:$AD$9</c:f>
              <c:numCache>
                <c:formatCode>0.0</c:formatCode>
                <c:ptCount val="5"/>
                <c:pt idx="0">
                  <c:v>1.5416666666666667</c:v>
                </c:pt>
                <c:pt idx="1">
                  <c:v>0.94444444444444442</c:v>
                </c:pt>
                <c:pt idx="2">
                  <c:v>0.8125</c:v>
                </c:pt>
                <c:pt idx="3">
                  <c:v>1.2460317460317458</c:v>
                </c:pt>
                <c:pt idx="4">
                  <c:v>1.6666666666666667</c:v>
                </c:pt>
              </c:numCache>
            </c:numRef>
          </c:val>
          <c:extLst>
            <c:ext xmlns:c16="http://schemas.microsoft.com/office/drawing/2014/chart" uri="{C3380CC4-5D6E-409C-BE32-E72D297353CC}">
              <c16:uniqueId val="{00000002-EB59-41AD-9F2D-E79DAEFA35AD}"/>
            </c:ext>
          </c:extLst>
        </c:ser>
        <c:dLbls>
          <c:showLegendKey val="0"/>
          <c:showVal val="1"/>
          <c:showCatName val="0"/>
          <c:showSerName val="0"/>
          <c:showPercent val="0"/>
          <c:showBubbleSize val="0"/>
        </c:dLbls>
        <c:gapWidth val="75"/>
        <c:axId val="90283711"/>
        <c:axId val="18441439"/>
      </c:barChart>
      <c:catAx>
        <c:axId val="90283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1439"/>
        <c:crosses val="autoZero"/>
        <c:auto val="1"/>
        <c:lblAlgn val="ctr"/>
        <c:lblOffset val="100"/>
        <c:noMultiLvlLbl val="0"/>
      </c:catAx>
      <c:valAx>
        <c:axId val="1844143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83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[Operations_ManufacturingKPIManagement.xlsm]Sheet1!OEE</c:name>
    <c:fmtId val="2"/>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OEE% Analysis</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85000"/>
            </a:schemeClr>
          </a:solidFill>
          <a:ln>
            <a:solidFill>
              <a:srgbClr val="50B4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Sheet1!$AJ$3</c:f>
              <c:strCache>
                <c:ptCount val="1"/>
                <c:pt idx="0">
                  <c:v>Total</c:v>
                </c:pt>
              </c:strCache>
            </c:strRef>
          </c:tx>
          <c:spPr>
            <a:solidFill>
              <a:schemeClr val="bg1">
                <a:lumMod val="85000"/>
              </a:schemeClr>
            </a:solidFill>
            <a:ln>
              <a:solidFill>
                <a:srgbClr val="50B47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Sheet1!$AI$4:$AI$11</c:f>
              <c:strCache>
                <c:ptCount val="7"/>
                <c:pt idx="0">
                  <c:v>AAA</c:v>
                </c:pt>
                <c:pt idx="1">
                  <c:v>ABB</c:v>
                </c:pt>
                <c:pt idx="2">
                  <c:v>ABC</c:v>
                </c:pt>
                <c:pt idx="3">
                  <c:v>CCC</c:v>
                </c:pt>
                <c:pt idx="4">
                  <c:v>CFD</c:v>
                </c:pt>
                <c:pt idx="5">
                  <c:v>DBA</c:v>
                </c:pt>
                <c:pt idx="6">
                  <c:v>DDC</c:v>
                </c:pt>
              </c:strCache>
            </c:strRef>
          </c:cat>
          <c:val>
            <c:numRef>
              <c:f>Sheet1!$AJ$4:$AJ$11</c:f>
              <c:numCache>
                <c:formatCode>0%</c:formatCode>
                <c:ptCount val="7"/>
                <c:pt idx="0">
                  <c:v>0.53046107331821613</c:v>
                </c:pt>
                <c:pt idx="1">
                  <c:v>0.48133116883116878</c:v>
                </c:pt>
                <c:pt idx="2">
                  <c:v>0.58709102688694526</c:v>
                </c:pt>
                <c:pt idx="3">
                  <c:v>0.55319805194805205</c:v>
                </c:pt>
                <c:pt idx="4">
                  <c:v>0.60932234432234422</c:v>
                </c:pt>
                <c:pt idx="5">
                  <c:v>0.64811688311688309</c:v>
                </c:pt>
                <c:pt idx="6">
                  <c:v>0.63744444444444437</c:v>
                </c:pt>
              </c:numCache>
            </c:numRef>
          </c:val>
          <c:extLst>
            <c:ext xmlns:c16="http://schemas.microsoft.com/office/drawing/2014/chart" uri="{C3380CC4-5D6E-409C-BE32-E72D297353CC}">
              <c16:uniqueId val="{00000000-FE40-4D25-8AD3-9DB89DBB8EAE}"/>
            </c:ext>
          </c:extLst>
        </c:ser>
        <c:dLbls>
          <c:showLegendKey val="0"/>
          <c:showVal val="0"/>
          <c:showCatName val="0"/>
          <c:showSerName val="0"/>
          <c:showPercent val="0"/>
          <c:showBubbleSize val="0"/>
        </c:dLbls>
        <c:gapWidth val="84"/>
        <c:overlap val="-27"/>
        <c:axId val="360964191"/>
        <c:axId val="18439775"/>
      </c:barChart>
      <c:catAx>
        <c:axId val="36096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9775"/>
        <c:crosses val="autoZero"/>
        <c:auto val="1"/>
        <c:lblAlgn val="ctr"/>
        <c:lblOffset val="100"/>
        <c:noMultiLvlLbl val="0"/>
      </c:catAx>
      <c:valAx>
        <c:axId val="18439775"/>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360964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[Operations_ManufacturingKPIManagement.xlsm]Sheet1!Product achieve</c:name>
    <c:fmtId val="2"/>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Product Plan Achieve% And </a:t>
            </a:r>
            <a:r>
              <a:rPr lang="en-US" b="1" baseline="0">
                <a:solidFill>
                  <a:srgbClr val="50B47F"/>
                </a:solidFill>
                <a:latin typeface="Arial" panose="020B0604020202020204" pitchFamily="34" charset="0"/>
                <a:cs typeface="Arial" panose="020B0604020202020204" pitchFamily="34" charset="0"/>
              </a:rPr>
              <a:t> Defect %</a:t>
            </a:r>
            <a:endParaRPr lang="en-US" b="1">
              <a:solidFill>
                <a:srgbClr val="50B47F"/>
              </a:solidFill>
              <a:latin typeface="Arial" panose="020B0604020202020204" pitchFamily="34" charset="0"/>
              <a:cs typeface="Arial" panose="020B0604020202020204" pitchFamily="34" charset="0"/>
            </a:endParaRPr>
          </a:p>
        </c:rich>
      </c:tx>
      <c:layout>
        <c:manualLayout>
          <c:xMode val="edge"/>
          <c:yMode val="edge"/>
          <c:x val="0.28645109760773219"/>
          <c:y val="8.1033922394122011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rgbClr val="50B4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A3231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253395654860684E-2"/>
          <c:y val="6.8368779054273979E-2"/>
          <c:w val="0.87063806888556894"/>
          <c:h val="0.92656929648499819"/>
        </c:manualLayout>
      </c:layout>
      <c:barChart>
        <c:barDir val="bar"/>
        <c:grouping val="clustered"/>
        <c:varyColors val="0"/>
        <c:ser>
          <c:idx val="0"/>
          <c:order val="0"/>
          <c:tx>
            <c:strRef>
              <c:f>Sheet1!$AM$3</c:f>
              <c:strCache>
                <c:ptCount val="1"/>
                <c:pt idx="0">
                  <c:v>Average of Plan Achieve %</c:v>
                </c:pt>
              </c:strCache>
            </c:strRef>
          </c:tx>
          <c:spPr>
            <a:solidFill>
              <a:srgbClr val="8FCFAD"/>
            </a:solidFill>
            <a:ln>
              <a:solidFill>
                <a:srgbClr val="50B47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Sheet1!$AL$4:$AL$11</c:f>
              <c:strCache>
                <c:ptCount val="7"/>
                <c:pt idx="0">
                  <c:v>AAA</c:v>
                </c:pt>
                <c:pt idx="1">
                  <c:v>ABB</c:v>
                </c:pt>
                <c:pt idx="2">
                  <c:v>ABC</c:v>
                </c:pt>
                <c:pt idx="3">
                  <c:v>CCC</c:v>
                </c:pt>
                <c:pt idx="4">
                  <c:v>CFD</c:v>
                </c:pt>
                <c:pt idx="5">
                  <c:v>DBA</c:v>
                </c:pt>
                <c:pt idx="6">
                  <c:v>DDC</c:v>
                </c:pt>
              </c:strCache>
            </c:strRef>
          </c:cat>
          <c:val>
            <c:numRef>
              <c:f>Sheet1!$AM$4:$AM$11</c:f>
              <c:numCache>
                <c:formatCode>0%</c:formatCode>
                <c:ptCount val="7"/>
                <c:pt idx="0">
                  <c:v>0.71785714285714297</c:v>
                </c:pt>
                <c:pt idx="1">
                  <c:v>0.61881313131313131</c:v>
                </c:pt>
                <c:pt idx="2">
                  <c:v>0.70941043083900213</c:v>
                </c:pt>
                <c:pt idx="3">
                  <c:v>0.65437409812409819</c:v>
                </c:pt>
                <c:pt idx="4">
                  <c:v>0.69353479853479838</c:v>
                </c:pt>
                <c:pt idx="5">
                  <c:v>0.74606060606060609</c:v>
                </c:pt>
                <c:pt idx="6">
                  <c:v>0.73711111111111116</c:v>
                </c:pt>
              </c:numCache>
            </c:numRef>
          </c:val>
          <c:extLst>
            <c:ext xmlns:c16="http://schemas.microsoft.com/office/drawing/2014/chart" uri="{C3380CC4-5D6E-409C-BE32-E72D297353CC}">
              <c16:uniqueId val="{00000000-C9C8-4187-9E9D-B344ACBFD5AE}"/>
            </c:ext>
          </c:extLst>
        </c:ser>
        <c:ser>
          <c:idx val="1"/>
          <c:order val="1"/>
          <c:tx>
            <c:strRef>
              <c:f>Sheet1!$AN$3</c:f>
              <c:strCache>
                <c:ptCount val="1"/>
                <c:pt idx="0">
                  <c:v>Average of Defect %</c:v>
                </c:pt>
              </c:strCache>
            </c:strRef>
          </c:tx>
          <c:spPr>
            <a:solidFill>
              <a:srgbClr val="A3231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Sheet1!$AL$4:$AL$11</c:f>
              <c:strCache>
                <c:ptCount val="7"/>
                <c:pt idx="0">
                  <c:v>AAA</c:v>
                </c:pt>
                <c:pt idx="1">
                  <c:v>ABB</c:v>
                </c:pt>
                <c:pt idx="2">
                  <c:v>ABC</c:v>
                </c:pt>
                <c:pt idx="3">
                  <c:v>CCC</c:v>
                </c:pt>
                <c:pt idx="4">
                  <c:v>CFD</c:v>
                </c:pt>
                <c:pt idx="5">
                  <c:v>DBA</c:v>
                </c:pt>
                <c:pt idx="6">
                  <c:v>DDC</c:v>
                </c:pt>
              </c:strCache>
            </c:strRef>
          </c:cat>
          <c:val>
            <c:numRef>
              <c:f>Sheet1!$AN$4:$AN$11</c:f>
              <c:numCache>
                <c:formatCode>0%</c:formatCode>
                <c:ptCount val="7"/>
                <c:pt idx="0">
                  <c:v>0.13360021733607239</c:v>
                </c:pt>
                <c:pt idx="1">
                  <c:v>0.12644439918911685</c:v>
                </c:pt>
                <c:pt idx="2">
                  <c:v>0.137266061160466</c:v>
                </c:pt>
                <c:pt idx="3">
                  <c:v>0.13810260373894656</c:v>
                </c:pt>
                <c:pt idx="4">
                  <c:v>0.12061837404466101</c:v>
                </c:pt>
                <c:pt idx="5">
                  <c:v>0.15290365149233434</c:v>
                </c:pt>
                <c:pt idx="6">
                  <c:v>0.14694753426917004</c:v>
                </c:pt>
              </c:numCache>
            </c:numRef>
          </c:val>
          <c:extLst>
            <c:ext xmlns:c16="http://schemas.microsoft.com/office/drawing/2014/chart" uri="{C3380CC4-5D6E-409C-BE32-E72D297353CC}">
              <c16:uniqueId val="{00000002-C9C8-4187-9E9D-B344ACBFD5AE}"/>
            </c:ext>
          </c:extLst>
        </c:ser>
        <c:dLbls>
          <c:showLegendKey val="0"/>
          <c:showVal val="0"/>
          <c:showCatName val="0"/>
          <c:showSerName val="0"/>
          <c:showPercent val="0"/>
          <c:showBubbleSize val="0"/>
        </c:dLbls>
        <c:gapWidth val="175"/>
        <c:overlap val="-25"/>
        <c:axId val="1207358399"/>
        <c:axId val="1096889167"/>
      </c:barChart>
      <c:catAx>
        <c:axId val="1207358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889167"/>
        <c:crosses val="autoZero"/>
        <c:auto val="1"/>
        <c:lblAlgn val="ctr"/>
        <c:lblOffset val="100"/>
        <c:noMultiLvlLbl val="0"/>
      </c:catAx>
      <c:valAx>
        <c:axId val="1096889167"/>
        <c:scaling>
          <c:orientation val="minMax"/>
        </c:scaling>
        <c:delete val="1"/>
        <c:axPos val="b"/>
        <c:numFmt formatCode="0%" sourceLinked="1"/>
        <c:majorTickMark val="none"/>
        <c:minorTickMark val="none"/>
        <c:tickLblPos val="nextTo"/>
        <c:crossAx val="1207358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[Operations_ManufacturingKPIManagement.xlsm]Sheet1!root cause</c:name>
    <c:fmtId val="5"/>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Failure root causes analysis %</a:t>
            </a:r>
          </a:p>
        </c:rich>
      </c:tx>
      <c:layout>
        <c:manualLayout>
          <c:xMode val="edge"/>
          <c:yMode val="edge"/>
          <c:x val="0.23966335585648593"/>
          <c:y val="4.6765989847915874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0.13768102153511363"/>
          <c:y val="0.13594718552806229"/>
          <c:w val="0.45980302400617895"/>
          <c:h val="0.83458192467791603"/>
        </c:manualLayout>
      </c:layout>
      <c:doughnutChart>
        <c:varyColors val="1"/>
        <c:ser>
          <c:idx val="0"/>
          <c:order val="0"/>
          <c:tx>
            <c:strRef>
              <c:f>Sheet1!$AQ$3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5A-492C-A7D9-CD6437A043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5A-492C-A7D9-CD6437A043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5A-492C-A7D9-CD6437A043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5A-492C-A7D9-CD6437A043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5A-492C-A7D9-CD6437A043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5A-492C-A7D9-CD6437A043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75A-492C-A7D9-CD6437A043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F9C-40D5-90E8-6601689E108F}"/>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Sheet1!$AP$4:$AP$12</c:f>
              <c:strCache>
                <c:ptCount val="8"/>
                <c:pt idx="0">
                  <c:v>Machine problem</c:v>
                </c:pt>
                <c:pt idx="1">
                  <c:v>Material delay</c:v>
                </c:pt>
                <c:pt idx="2">
                  <c:v>Material preparation</c:v>
                </c:pt>
                <c:pt idx="3">
                  <c:v>Mold problem</c:v>
                </c:pt>
                <c:pt idx="4">
                  <c:v>Packing shortage</c:v>
                </c:pt>
                <c:pt idx="5">
                  <c:v>Quality issue</c:v>
                </c:pt>
                <c:pt idx="6">
                  <c:v>Sudden plan change</c:v>
                </c:pt>
                <c:pt idx="7">
                  <c:v>Workers shortage</c:v>
                </c:pt>
              </c:strCache>
            </c:strRef>
          </c:cat>
          <c:val>
            <c:numRef>
              <c:f>Sheet1!$AQ$4:$AQ$12</c:f>
              <c:numCache>
                <c:formatCode>General</c:formatCode>
                <c:ptCount val="8"/>
                <c:pt idx="0">
                  <c:v>12</c:v>
                </c:pt>
                <c:pt idx="1">
                  <c:v>10</c:v>
                </c:pt>
                <c:pt idx="2">
                  <c:v>22</c:v>
                </c:pt>
                <c:pt idx="3">
                  <c:v>13</c:v>
                </c:pt>
                <c:pt idx="4">
                  <c:v>10</c:v>
                </c:pt>
                <c:pt idx="5">
                  <c:v>9</c:v>
                </c:pt>
                <c:pt idx="6">
                  <c:v>30</c:v>
                </c:pt>
                <c:pt idx="7">
                  <c:v>9</c:v>
                </c:pt>
              </c:numCache>
            </c:numRef>
          </c:val>
          <c:extLst>
            <c:ext xmlns:c16="http://schemas.microsoft.com/office/drawing/2014/chart" uri="{C3380CC4-5D6E-409C-BE32-E72D297353CC}">
              <c16:uniqueId val="{00000012-075A-492C-A7D9-CD6437A0432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104166666666667"/>
          <c:y val="0.10845201099869776"/>
          <c:w val="0.27291666666666664"/>
          <c:h val="0.884550958461312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[Operations_ManufacturingKPIManagement.xlsm]Sheet1!loses</c:name>
    <c:fmtId val="5"/>
  </c:pivotSource>
  <c:chart>
    <c:title>
      <c:tx>
        <c:rich>
          <a:bodyPr rot="0" spcFirstLastPara="1" vertOverflow="ellipsis" vert="horz" wrap="square" anchor="ctr" anchorCtr="1"/>
          <a:lstStyle/>
          <a:p>
            <a:pPr>
              <a:defRPr sz="1400" b="1" i="0" u="none" strike="noStrike" kern="1200" cap="all" spc="120" normalizeH="0" baseline="0">
                <a:solidFill>
                  <a:srgbClr val="50B47F"/>
                </a:solidFill>
                <a:latin typeface="Arial" panose="020B0604020202020204" pitchFamily="34" charset="0"/>
                <a:ea typeface="+mn-ea"/>
                <a:cs typeface="Arial" panose="020B0604020202020204" pitchFamily="34" charset="0"/>
              </a:defRPr>
            </a:pPr>
            <a:r>
              <a:rPr lang="en-US" sz="1400" cap="none" baseline="0">
                <a:solidFill>
                  <a:srgbClr val="50B47F"/>
                </a:solidFill>
                <a:latin typeface="Arial" panose="020B0604020202020204" pitchFamily="34" charset="0"/>
                <a:cs typeface="Arial" panose="020B0604020202020204" pitchFamily="34" charset="0"/>
              </a:rPr>
              <a:t>Time Analysis</a:t>
            </a:r>
          </a:p>
        </c:rich>
      </c:tx>
      <c:layout>
        <c:manualLayout>
          <c:xMode val="edge"/>
          <c:yMode val="edge"/>
          <c:x val="0.31652141481275686"/>
          <c:y val="2.5414120085119292E-2"/>
        </c:manualLayout>
      </c:layout>
      <c:overlay val="0"/>
      <c:spPr>
        <a:noFill/>
        <a:ln>
          <a:noFill/>
        </a:ln>
        <a:effectLst/>
      </c:spPr>
      <c:txPr>
        <a:bodyPr rot="0" spcFirstLastPara="1" vertOverflow="ellipsis" vert="horz" wrap="square" anchor="ctr" anchorCtr="1"/>
        <a:lstStyle/>
        <a:p>
          <a:pPr>
            <a:defRPr sz="1400" b="1" i="0" u="none" strike="noStrike" kern="1200" cap="all" spc="120" normalizeH="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0B47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A3231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859526026039644E-2"/>
          <c:y val="0.1234706662454656"/>
          <c:w val="0.9449805399681388"/>
          <c:h val="0.53360299357973595"/>
        </c:manualLayout>
      </c:layout>
      <c:barChart>
        <c:barDir val="col"/>
        <c:grouping val="stacked"/>
        <c:varyColors val="0"/>
        <c:ser>
          <c:idx val="0"/>
          <c:order val="0"/>
          <c:tx>
            <c:strRef>
              <c:f>Sheet1!$AT$3</c:f>
              <c:strCache>
                <c:ptCount val="1"/>
                <c:pt idx="0">
                  <c:v>Sum of Available Run Time (Hrs)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Sheet1!$AS$4:$AS$29</c:f>
              <c:multiLvlStrCache>
                <c:ptCount val="19"/>
                <c:lvl>
                  <c:pt idx="0">
                    <c:v>Qtr1</c:v>
                  </c:pt>
                  <c:pt idx="1">
                    <c:v>Qtr2</c:v>
                  </c:pt>
                  <c:pt idx="2">
                    <c:v>Qtr3</c:v>
                  </c:pt>
                  <c:pt idx="3">
                    <c:v>Qtr4</c:v>
                  </c:pt>
                  <c:pt idx="4">
                    <c:v>Qtr1</c:v>
                  </c:pt>
                  <c:pt idx="5">
                    <c:v>Qtr2</c:v>
                  </c:pt>
                  <c:pt idx="6">
                    <c:v>Qtr3</c:v>
                  </c:pt>
                  <c:pt idx="7">
                    <c:v>Qtr4</c:v>
                  </c:pt>
                  <c:pt idx="8">
                    <c:v>Qtr1</c:v>
                  </c:pt>
                  <c:pt idx="9">
                    <c:v>Qtr2</c:v>
                  </c:pt>
                  <c:pt idx="10">
                    <c:v>Qtr4</c:v>
                  </c:pt>
                  <c:pt idx="11">
                    <c:v>Qtr1</c:v>
                  </c:pt>
                  <c:pt idx="12">
                    <c:v>Qtr3</c:v>
                  </c:pt>
                  <c:pt idx="13">
                    <c:v>Qtr4</c:v>
                  </c:pt>
                  <c:pt idx="14">
                    <c:v>Qtr1</c:v>
                  </c:pt>
                  <c:pt idx="15">
                    <c:v>Qtr2</c:v>
                  </c:pt>
                  <c:pt idx="16">
                    <c:v>Qtr3</c:v>
                  </c:pt>
                  <c:pt idx="17">
                    <c:v>Qtr4</c:v>
                  </c:pt>
                  <c:pt idx="18">
                    <c:v>Qtr4</c:v>
                  </c:pt>
                </c:lvl>
                <c:lvl>
                  <c:pt idx="0">
                    <c:v>2015</c:v>
                  </c:pt>
                  <c:pt idx="4">
                    <c:v>2016</c:v>
                  </c:pt>
                  <c:pt idx="8">
                    <c:v>2017</c:v>
                  </c:pt>
                  <c:pt idx="11">
                    <c:v>2018</c:v>
                  </c:pt>
                  <c:pt idx="14">
                    <c:v>2019</c:v>
                  </c:pt>
                  <c:pt idx="18">
                    <c:v>2020</c:v>
                  </c:pt>
                </c:lvl>
              </c:multiLvlStrCache>
            </c:multiLvlStrRef>
          </c:cat>
          <c:val>
            <c:numRef>
              <c:f>Sheet1!$AT$4:$AT$29</c:f>
              <c:numCache>
                <c:formatCode>General</c:formatCode>
                <c:ptCount val="19"/>
                <c:pt idx="0">
                  <c:v>56</c:v>
                </c:pt>
                <c:pt idx="1">
                  <c:v>21</c:v>
                </c:pt>
                <c:pt idx="2">
                  <c:v>49</c:v>
                </c:pt>
                <c:pt idx="3">
                  <c:v>42</c:v>
                </c:pt>
                <c:pt idx="4">
                  <c:v>42</c:v>
                </c:pt>
                <c:pt idx="5">
                  <c:v>49</c:v>
                </c:pt>
                <c:pt idx="6">
                  <c:v>42</c:v>
                </c:pt>
                <c:pt idx="7">
                  <c:v>28</c:v>
                </c:pt>
                <c:pt idx="8">
                  <c:v>35</c:v>
                </c:pt>
                <c:pt idx="9">
                  <c:v>56</c:v>
                </c:pt>
                <c:pt idx="10">
                  <c:v>7</c:v>
                </c:pt>
                <c:pt idx="11">
                  <c:v>49</c:v>
                </c:pt>
                <c:pt idx="12">
                  <c:v>21</c:v>
                </c:pt>
                <c:pt idx="13">
                  <c:v>14</c:v>
                </c:pt>
                <c:pt idx="14">
                  <c:v>56</c:v>
                </c:pt>
                <c:pt idx="15">
                  <c:v>49</c:v>
                </c:pt>
                <c:pt idx="16">
                  <c:v>35</c:v>
                </c:pt>
                <c:pt idx="17">
                  <c:v>28</c:v>
                </c:pt>
                <c:pt idx="18">
                  <c:v>7</c:v>
                </c:pt>
              </c:numCache>
            </c:numRef>
          </c:val>
          <c:extLst>
            <c:ext xmlns:c16="http://schemas.microsoft.com/office/drawing/2014/chart" uri="{C3380CC4-5D6E-409C-BE32-E72D297353CC}">
              <c16:uniqueId val="{00000000-9EBB-4CED-ADB1-278880A33876}"/>
            </c:ext>
          </c:extLst>
        </c:ser>
        <c:ser>
          <c:idx val="1"/>
          <c:order val="1"/>
          <c:tx>
            <c:strRef>
              <c:f>Sheet1!$AU$3</c:f>
              <c:strCache>
                <c:ptCount val="1"/>
                <c:pt idx="0">
                  <c:v>Sum of Actual Run Time (Hrs)</c:v>
                </c:pt>
              </c:strCache>
            </c:strRef>
          </c:tx>
          <c:spPr>
            <a:solidFill>
              <a:srgbClr val="50B47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Sheet1!$AS$4:$AS$29</c:f>
              <c:multiLvlStrCache>
                <c:ptCount val="19"/>
                <c:lvl>
                  <c:pt idx="0">
                    <c:v>Qtr1</c:v>
                  </c:pt>
                  <c:pt idx="1">
                    <c:v>Qtr2</c:v>
                  </c:pt>
                  <c:pt idx="2">
                    <c:v>Qtr3</c:v>
                  </c:pt>
                  <c:pt idx="3">
                    <c:v>Qtr4</c:v>
                  </c:pt>
                  <c:pt idx="4">
                    <c:v>Qtr1</c:v>
                  </c:pt>
                  <c:pt idx="5">
                    <c:v>Qtr2</c:v>
                  </c:pt>
                  <c:pt idx="6">
                    <c:v>Qtr3</c:v>
                  </c:pt>
                  <c:pt idx="7">
                    <c:v>Qtr4</c:v>
                  </c:pt>
                  <c:pt idx="8">
                    <c:v>Qtr1</c:v>
                  </c:pt>
                  <c:pt idx="9">
                    <c:v>Qtr2</c:v>
                  </c:pt>
                  <c:pt idx="10">
                    <c:v>Qtr4</c:v>
                  </c:pt>
                  <c:pt idx="11">
                    <c:v>Qtr1</c:v>
                  </c:pt>
                  <c:pt idx="12">
                    <c:v>Qtr3</c:v>
                  </c:pt>
                  <c:pt idx="13">
                    <c:v>Qtr4</c:v>
                  </c:pt>
                  <c:pt idx="14">
                    <c:v>Qtr1</c:v>
                  </c:pt>
                  <c:pt idx="15">
                    <c:v>Qtr2</c:v>
                  </c:pt>
                  <c:pt idx="16">
                    <c:v>Qtr3</c:v>
                  </c:pt>
                  <c:pt idx="17">
                    <c:v>Qtr4</c:v>
                  </c:pt>
                  <c:pt idx="18">
                    <c:v>Qtr4</c:v>
                  </c:pt>
                </c:lvl>
                <c:lvl>
                  <c:pt idx="0">
                    <c:v>2015</c:v>
                  </c:pt>
                  <c:pt idx="4">
                    <c:v>2016</c:v>
                  </c:pt>
                  <c:pt idx="8">
                    <c:v>2017</c:v>
                  </c:pt>
                  <c:pt idx="11">
                    <c:v>2018</c:v>
                  </c:pt>
                  <c:pt idx="14">
                    <c:v>2019</c:v>
                  </c:pt>
                  <c:pt idx="18">
                    <c:v>2020</c:v>
                  </c:pt>
                </c:lvl>
              </c:multiLvlStrCache>
            </c:multiLvlStrRef>
          </c:cat>
          <c:val>
            <c:numRef>
              <c:f>Sheet1!$AU$4:$AU$29</c:f>
              <c:numCache>
                <c:formatCode>General</c:formatCode>
                <c:ptCount val="19"/>
                <c:pt idx="0">
                  <c:v>46</c:v>
                </c:pt>
                <c:pt idx="1">
                  <c:v>19</c:v>
                </c:pt>
                <c:pt idx="2">
                  <c:v>39</c:v>
                </c:pt>
                <c:pt idx="3">
                  <c:v>40</c:v>
                </c:pt>
                <c:pt idx="4">
                  <c:v>36</c:v>
                </c:pt>
                <c:pt idx="5">
                  <c:v>39</c:v>
                </c:pt>
                <c:pt idx="6">
                  <c:v>38</c:v>
                </c:pt>
                <c:pt idx="7">
                  <c:v>22</c:v>
                </c:pt>
                <c:pt idx="8">
                  <c:v>29</c:v>
                </c:pt>
                <c:pt idx="9">
                  <c:v>42</c:v>
                </c:pt>
                <c:pt idx="10">
                  <c:v>7</c:v>
                </c:pt>
                <c:pt idx="11">
                  <c:v>38</c:v>
                </c:pt>
                <c:pt idx="12">
                  <c:v>20</c:v>
                </c:pt>
                <c:pt idx="13">
                  <c:v>13</c:v>
                </c:pt>
                <c:pt idx="14">
                  <c:v>40</c:v>
                </c:pt>
                <c:pt idx="15">
                  <c:v>41</c:v>
                </c:pt>
                <c:pt idx="16">
                  <c:v>33</c:v>
                </c:pt>
                <c:pt idx="17">
                  <c:v>22</c:v>
                </c:pt>
                <c:pt idx="18">
                  <c:v>7</c:v>
                </c:pt>
              </c:numCache>
            </c:numRef>
          </c:val>
          <c:extLst>
            <c:ext xmlns:c16="http://schemas.microsoft.com/office/drawing/2014/chart" uri="{C3380CC4-5D6E-409C-BE32-E72D297353CC}">
              <c16:uniqueId val="{00000001-9EBB-4CED-ADB1-278880A33876}"/>
            </c:ext>
          </c:extLst>
        </c:ser>
        <c:ser>
          <c:idx val="2"/>
          <c:order val="2"/>
          <c:tx>
            <c:strRef>
              <c:f>Sheet1!$AV$3</c:f>
              <c:strCache>
                <c:ptCount val="1"/>
                <c:pt idx="0">
                  <c:v>Sum of Lose Time (Hrs)</c:v>
                </c:pt>
              </c:strCache>
            </c:strRef>
          </c:tx>
          <c:spPr>
            <a:solidFill>
              <a:srgbClr val="A3231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Sheet1!$AS$4:$AS$29</c:f>
              <c:multiLvlStrCache>
                <c:ptCount val="19"/>
                <c:lvl>
                  <c:pt idx="0">
                    <c:v>Qtr1</c:v>
                  </c:pt>
                  <c:pt idx="1">
                    <c:v>Qtr2</c:v>
                  </c:pt>
                  <c:pt idx="2">
                    <c:v>Qtr3</c:v>
                  </c:pt>
                  <c:pt idx="3">
                    <c:v>Qtr4</c:v>
                  </c:pt>
                  <c:pt idx="4">
                    <c:v>Qtr1</c:v>
                  </c:pt>
                  <c:pt idx="5">
                    <c:v>Qtr2</c:v>
                  </c:pt>
                  <c:pt idx="6">
                    <c:v>Qtr3</c:v>
                  </c:pt>
                  <c:pt idx="7">
                    <c:v>Qtr4</c:v>
                  </c:pt>
                  <c:pt idx="8">
                    <c:v>Qtr1</c:v>
                  </c:pt>
                  <c:pt idx="9">
                    <c:v>Qtr2</c:v>
                  </c:pt>
                  <c:pt idx="10">
                    <c:v>Qtr4</c:v>
                  </c:pt>
                  <c:pt idx="11">
                    <c:v>Qtr1</c:v>
                  </c:pt>
                  <c:pt idx="12">
                    <c:v>Qtr3</c:v>
                  </c:pt>
                  <c:pt idx="13">
                    <c:v>Qtr4</c:v>
                  </c:pt>
                  <c:pt idx="14">
                    <c:v>Qtr1</c:v>
                  </c:pt>
                  <c:pt idx="15">
                    <c:v>Qtr2</c:v>
                  </c:pt>
                  <c:pt idx="16">
                    <c:v>Qtr3</c:v>
                  </c:pt>
                  <c:pt idx="17">
                    <c:v>Qtr4</c:v>
                  </c:pt>
                  <c:pt idx="18">
                    <c:v>Qtr4</c:v>
                  </c:pt>
                </c:lvl>
                <c:lvl>
                  <c:pt idx="0">
                    <c:v>2015</c:v>
                  </c:pt>
                  <c:pt idx="4">
                    <c:v>2016</c:v>
                  </c:pt>
                  <c:pt idx="8">
                    <c:v>2017</c:v>
                  </c:pt>
                  <c:pt idx="11">
                    <c:v>2018</c:v>
                  </c:pt>
                  <c:pt idx="14">
                    <c:v>2019</c:v>
                  </c:pt>
                  <c:pt idx="18">
                    <c:v>2020</c:v>
                  </c:pt>
                </c:lvl>
              </c:multiLvlStrCache>
            </c:multiLvlStrRef>
          </c:cat>
          <c:val>
            <c:numRef>
              <c:f>Sheet1!$AV$4:$AV$29</c:f>
              <c:numCache>
                <c:formatCode>General</c:formatCode>
                <c:ptCount val="19"/>
                <c:pt idx="0">
                  <c:v>10</c:v>
                </c:pt>
                <c:pt idx="1">
                  <c:v>2</c:v>
                </c:pt>
                <c:pt idx="2">
                  <c:v>10</c:v>
                </c:pt>
                <c:pt idx="3">
                  <c:v>2</c:v>
                </c:pt>
                <c:pt idx="4">
                  <c:v>6</c:v>
                </c:pt>
                <c:pt idx="5">
                  <c:v>10</c:v>
                </c:pt>
                <c:pt idx="6">
                  <c:v>4</c:v>
                </c:pt>
                <c:pt idx="7">
                  <c:v>6</c:v>
                </c:pt>
                <c:pt idx="8">
                  <c:v>6</c:v>
                </c:pt>
                <c:pt idx="9">
                  <c:v>14</c:v>
                </c:pt>
                <c:pt idx="10">
                  <c:v>0</c:v>
                </c:pt>
                <c:pt idx="11">
                  <c:v>11</c:v>
                </c:pt>
                <c:pt idx="12">
                  <c:v>1</c:v>
                </c:pt>
                <c:pt idx="13">
                  <c:v>1</c:v>
                </c:pt>
                <c:pt idx="14">
                  <c:v>16</c:v>
                </c:pt>
                <c:pt idx="15">
                  <c:v>8</c:v>
                </c:pt>
                <c:pt idx="16">
                  <c:v>2</c:v>
                </c:pt>
                <c:pt idx="17">
                  <c:v>6</c:v>
                </c:pt>
                <c:pt idx="18">
                  <c:v>0</c:v>
                </c:pt>
              </c:numCache>
            </c:numRef>
          </c:val>
          <c:extLst>
            <c:ext xmlns:c16="http://schemas.microsoft.com/office/drawing/2014/chart" uri="{C3380CC4-5D6E-409C-BE32-E72D297353CC}">
              <c16:uniqueId val="{00000001-C510-4DB8-9A34-F31566C134F9}"/>
            </c:ext>
          </c:extLst>
        </c:ser>
        <c:dLbls>
          <c:dLblPos val="ctr"/>
          <c:showLegendKey val="0"/>
          <c:showVal val="1"/>
          <c:showCatName val="0"/>
          <c:showSerName val="0"/>
          <c:showPercent val="0"/>
          <c:showBubbleSize val="0"/>
        </c:dLbls>
        <c:gapWidth val="79"/>
        <c:overlap val="100"/>
        <c:axId val="1494623824"/>
        <c:axId val="1304623968"/>
      </c:barChart>
      <c:catAx>
        <c:axId val="1494623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4623968"/>
        <c:crosses val="autoZero"/>
        <c:auto val="1"/>
        <c:lblAlgn val="ctr"/>
        <c:lblOffset val="100"/>
        <c:noMultiLvlLbl val="0"/>
      </c:catAx>
      <c:valAx>
        <c:axId val="1304623968"/>
        <c:scaling>
          <c:orientation val="minMax"/>
        </c:scaling>
        <c:delete val="1"/>
        <c:axPos val="l"/>
        <c:numFmt formatCode="General" sourceLinked="1"/>
        <c:majorTickMark val="none"/>
        <c:minorTickMark val="none"/>
        <c:tickLblPos val="nextTo"/>
        <c:crossAx val="1494623824"/>
        <c:crosses val="autoZero"/>
        <c:crossBetween val="between"/>
      </c:valAx>
      <c:spPr>
        <a:noFill/>
        <a:ln>
          <a:noFill/>
        </a:ln>
        <a:effectLst/>
      </c:spPr>
    </c:plotArea>
    <c:legend>
      <c:legendPos val="b"/>
      <c:layout>
        <c:manualLayout>
          <c:xMode val="edge"/>
          <c:yMode val="edge"/>
          <c:x val="1.9416347230721887E-2"/>
          <c:y val="0.87615658607381086"/>
          <c:w val="0.88482780145639506"/>
          <c:h val="0.123843583751263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47624</xdr:colOff>
      <xdr:row>62</xdr:row>
      <xdr:rowOff>19050</xdr:rowOff>
    </xdr:from>
    <xdr:to>
      <xdr:col>12</xdr:col>
      <xdr:colOff>437029</xdr:colOff>
      <xdr:row>66</xdr:row>
      <xdr:rowOff>38100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4321968" y="10448925"/>
          <a:ext cx="5854374" cy="685800"/>
          <a:chOff x="4257674" y="8324850"/>
          <a:chExt cx="7353301" cy="666750"/>
        </a:xfrm>
      </xdr:grpSpPr>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00000000-0008-0000-0000-00000D000000}"/>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70</xdr:row>
      <xdr:rowOff>95250</xdr:rowOff>
    </xdr:from>
    <xdr:to>
      <xdr:col>12</xdr:col>
      <xdr:colOff>456079</xdr:colOff>
      <xdr:row>74</xdr:row>
      <xdr:rowOff>114300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4341018" y="11858625"/>
          <a:ext cx="5854374" cy="685800"/>
          <a:chOff x="4276724" y="9696450"/>
          <a:chExt cx="7353301" cy="666750"/>
        </a:xfrm>
      </xdr:grpSpPr>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00000000-0008-0000-0000-00001100000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76</xdr:row>
      <xdr:rowOff>47625</xdr:rowOff>
    </xdr:from>
    <xdr:to>
      <xdr:col>12</xdr:col>
      <xdr:colOff>420024</xdr:colOff>
      <xdr:row>80</xdr:row>
      <xdr:rowOff>133350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4360069" y="12811125"/>
          <a:ext cx="5799268" cy="752475"/>
          <a:chOff x="4295775" y="10620375"/>
          <a:chExt cx="7334250" cy="733425"/>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00000000-0008-0000-0000-00001400000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16384</xdr:col>
      <xdr:colOff>6381750</xdr:colOff>
      <xdr:row>5</xdr:row>
      <xdr:rowOff>4762</xdr:rowOff>
    </xdr:from>
    <xdr:to>
      <xdr:col>16384</xdr:col>
      <xdr:colOff>10953750</xdr:colOff>
      <xdr:row>20</xdr:row>
      <xdr:rowOff>157162</xdr:rowOff>
    </xdr:to>
    <xdr:graphicFrame macro="">
      <xdr:nvGraphicFramePr>
        <xdr:cNvPr id="14" name="Chart 2">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47625</xdr:colOff>
          <xdr:row>6</xdr:row>
          <xdr:rowOff>9525</xdr:rowOff>
        </xdr:from>
        <xdr:to>
          <xdr:col>1</xdr:col>
          <xdr:colOff>352425</xdr:colOff>
          <xdr:row>7</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xdr:row>
          <xdr:rowOff>9525</xdr:rowOff>
        </xdr:from>
        <xdr:to>
          <xdr:col>2</xdr:col>
          <xdr:colOff>609600</xdr:colOff>
          <xdr:row>7</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Full Screen</a:t>
              </a:r>
            </a:p>
          </xdr:txBody>
        </xdr:sp>
        <xdr:clientData fPrintsWithSheet="0"/>
      </xdr:twoCellAnchor>
    </mc:Choice>
    <mc:Fallback/>
  </mc:AlternateContent>
  <xdr:twoCellAnchor editAs="oneCell">
    <xdr:from>
      <xdr:col>0</xdr:col>
      <xdr:colOff>0</xdr:colOff>
      <xdr:row>17</xdr:row>
      <xdr:rowOff>71438</xdr:rowOff>
    </xdr:from>
    <xdr:to>
      <xdr:col>2</xdr:col>
      <xdr:colOff>602456</xdr:colOff>
      <xdr:row>21</xdr:row>
      <xdr:rowOff>107156</xdr:rowOff>
    </xdr:to>
    <mc:AlternateContent xmlns:mc="http://schemas.openxmlformats.org/markup-compatibility/2006" xmlns:a14="http://schemas.microsoft.com/office/drawing/2010/main">
      <mc:Choice Requires="a14">
        <xdr:graphicFrame macro="">
          <xdr:nvGraphicFramePr>
            <xdr:cNvPr id="5" name="Shift">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Shift"/>
            </a:graphicData>
          </a:graphic>
        </xdr:graphicFrame>
      </mc:Choice>
      <mc:Fallback xmlns="">
        <xdr:sp macro="" textlink="">
          <xdr:nvSpPr>
            <xdr:cNvPr id="0" name=""/>
            <xdr:cNvSpPr>
              <a:spLocks noTextEdit="1"/>
            </xdr:cNvSpPr>
          </xdr:nvSpPr>
          <xdr:spPr>
            <a:xfrm>
              <a:off x="0" y="3000376"/>
              <a:ext cx="1828800" cy="7024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xdr:row>
      <xdr:rowOff>126207</xdr:rowOff>
    </xdr:from>
    <xdr:to>
      <xdr:col>2</xdr:col>
      <xdr:colOff>602456</xdr:colOff>
      <xdr:row>17</xdr:row>
      <xdr:rowOff>59532</xdr:rowOff>
    </xdr:to>
    <mc:AlternateContent xmlns:mc="http://schemas.openxmlformats.org/markup-compatibility/2006" xmlns:a14="http://schemas.microsoft.com/office/drawing/2010/main">
      <mc:Choice Requires="a14">
        <xdr:graphicFrame macro="">
          <xdr:nvGraphicFramePr>
            <xdr:cNvPr id="6" name="Line">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Line"/>
            </a:graphicData>
          </a:graphic>
        </xdr:graphicFrame>
      </mc:Choice>
      <mc:Fallback xmlns="">
        <xdr:sp macro="" textlink="">
          <xdr:nvSpPr>
            <xdr:cNvPr id="0" name=""/>
            <xdr:cNvSpPr>
              <a:spLocks noTextEdit="1"/>
            </xdr:cNvSpPr>
          </xdr:nvSpPr>
          <xdr:spPr>
            <a:xfrm>
              <a:off x="0" y="1388270"/>
              <a:ext cx="1828800" cy="1600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123827</xdr:rowOff>
    </xdr:from>
    <xdr:to>
      <xdr:col>2</xdr:col>
      <xdr:colOff>602456</xdr:colOff>
      <xdr:row>32</xdr:row>
      <xdr:rowOff>59531</xdr:rowOff>
    </xdr:to>
    <mc:AlternateContent xmlns:mc="http://schemas.openxmlformats.org/markup-compatibility/2006" xmlns:a14="http://schemas.microsoft.com/office/drawing/2010/main">
      <mc:Choice Requires="a14">
        <xdr:graphicFrame macro="">
          <xdr:nvGraphicFramePr>
            <xdr:cNvPr id="7" name="Product">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0" y="3719515"/>
              <a:ext cx="1828800" cy="1269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32</xdr:row>
      <xdr:rowOff>69054</xdr:rowOff>
    </xdr:from>
    <xdr:to>
      <xdr:col>2</xdr:col>
      <xdr:colOff>602456</xdr:colOff>
      <xdr:row>48</xdr:row>
      <xdr:rowOff>154782</xdr:rowOff>
    </xdr:to>
    <mc:AlternateContent xmlns:mc="http://schemas.openxmlformats.org/markup-compatibility/2006" xmlns:a14="http://schemas.microsoft.com/office/drawing/2010/main">
      <mc:Choice Requires="a14">
        <xdr:graphicFrame macro="">
          <xdr:nvGraphicFramePr>
            <xdr:cNvPr id="8" name="Failure Root Cause">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Failure Root Cause"/>
            </a:graphicData>
          </a:graphic>
        </xdr:graphicFrame>
      </mc:Choice>
      <mc:Fallback xmlns="">
        <xdr:sp macro="" textlink="">
          <xdr:nvSpPr>
            <xdr:cNvPr id="0" name=""/>
            <xdr:cNvSpPr>
              <a:spLocks noTextEdit="1"/>
            </xdr:cNvSpPr>
          </xdr:nvSpPr>
          <xdr:spPr>
            <a:xfrm>
              <a:off x="0" y="5498304"/>
              <a:ext cx="1828800" cy="27527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6</xdr:row>
      <xdr:rowOff>11907</xdr:rowOff>
    </xdr:from>
    <xdr:to>
      <xdr:col>22</xdr:col>
      <xdr:colOff>607218</xdr:colOff>
      <xdr:row>14</xdr:row>
      <xdr:rowOff>130969</xdr:rowOff>
    </xdr:to>
    <mc:AlternateContent xmlns:mc="http://schemas.openxmlformats.org/markup-compatibility/2006" xmlns:tsle="http://schemas.microsoft.com/office/drawing/2012/timeslicer">
      <mc:Choice Requires="tsle">
        <xdr:graphicFrame macro="">
          <xdr:nvGraphicFramePr>
            <xdr:cNvPr id="10" name="Date 1">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1572875" y="1107282"/>
              <a:ext cx="4464843" cy="129778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607218</xdr:colOff>
      <xdr:row>6</xdr:row>
      <xdr:rowOff>23813</xdr:rowOff>
    </xdr:from>
    <xdr:to>
      <xdr:col>15</xdr:col>
      <xdr:colOff>654843</xdr:colOff>
      <xdr:row>18</xdr:row>
      <xdr:rowOff>119062</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678656</xdr:colOff>
      <xdr:row>33</xdr:row>
      <xdr:rowOff>95249</xdr:rowOff>
    </xdr:from>
    <xdr:to>
      <xdr:col>23</xdr:col>
      <xdr:colOff>0</xdr:colOff>
      <xdr:row>48</xdr:row>
      <xdr:rowOff>166686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690561</xdr:colOff>
      <xdr:row>19</xdr:row>
      <xdr:rowOff>11906</xdr:rowOff>
    </xdr:from>
    <xdr:to>
      <xdr:col>22</xdr:col>
      <xdr:colOff>607217</xdr:colOff>
      <xdr:row>33</xdr:row>
      <xdr:rowOff>71437</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95250</xdr:colOff>
      <xdr:row>18</xdr:row>
      <xdr:rowOff>119062</xdr:rowOff>
    </xdr:from>
    <xdr:to>
      <xdr:col>10</xdr:col>
      <xdr:colOff>238124</xdr:colOff>
      <xdr:row>48</xdr:row>
      <xdr:rowOff>142876</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214312</xdr:colOff>
      <xdr:row>18</xdr:row>
      <xdr:rowOff>130968</xdr:rowOff>
    </xdr:from>
    <xdr:to>
      <xdr:col>15</xdr:col>
      <xdr:colOff>642937</xdr:colOff>
      <xdr:row>33</xdr:row>
      <xdr:rowOff>166686</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119063</xdr:colOff>
      <xdr:row>33</xdr:row>
      <xdr:rowOff>81642</xdr:rowOff>
    </xdr:from>
    <xdr:to>
      <xdr:col>15</xdr:col>
      <xdr:colOff>654843</xdr:colOff>
      <xdr:row>49</xdr:row>
      <xdr:rowOff>0</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152400</xdr:colOff>
      <xdr:row>3</xdr:row>
      <xdr:rowOff>9525</xdr:rowOff>
    </xdr:from>
    <xdr:to>
      <xdr:col>6</xdr:col>
      <xdr:colOff>419100</xdr:colOff>
      <xdr:row>4</xdr:row>
      <xdr:rowOff>16565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r:embed="rId2">
                  <a14:imgEffect>
                    <a14:backgroundRemoval t="0" b="100000" l="10000" r="90000">
                      <a14:foregroundMark x1="50122" y1="50391" x2="50122" y2="50391"/>
                    </a14:backgroundRemoval>
                  </a14:imgEffect>
                </a14:imgLayer>
              </a14:imgProps>
            </a:ext>
            <a:ext uri="{28A0092B-C50C-407E-A947-70E740481C1C}">
              <a14:useLocalDpi xmlns:a14="http://schemas.microsoft.com/office/drawing/2010/main" val="0"/>
            </a:ext>
          </a:extLst>
        </a:blip>
        <a:stretch>
          <a:fillRect/>
        </a:stretch>
      </xdr:blipFill>
      <xdr:spPr>
        <a:xfrm>
          <a:off x="3590925" y="504825"/>
          <a:ext cx="266700" cy="168965"/>
        </a:xfrm>
        <a:prstGeom prst="rect">
          <a:avLst/>
        </a:prstGeom>
      </xdr:spPr>
    </xdr:pic>
    <xdr:clientData/>
  </xdr:twoCellAnchor>
  <xdr:twoCellAnchor editAs="oneCell">
    <xdr:from>
      <xdr:col>6</xdr:col>
      <xdr:colOff>152400</xdr:colOff>
      <xdr:row>5</xdr:row>
      <xdr:rowOff>0</xdr:rowOff>
    </xdr:from>
    <xdr:to>
      <xdr:col>6</xdr:col>
      <xdr:colOff>419100</xdr:colOff>
      <xdr:row>6</xdr:row>
      <xdr:rowOff>7040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r:embed="rId2">
                  <a14:imgEffect>
                    <a14:backgroundRemoval t="0" b="100000" l="10000" r="90000">
                      <a14:foregroundMark x1="50122" y1="50391" x2="50122" y2="50391"/>
                    </a14:backgroundRemoval>
                  </a14:imgEffect>
                </a14:imgLayer>
              </a14:imgProps>
            </a:ext>
            <a:ext uri="{28A0092B-C50C-407E-A947-70E740481C1C}">
              <a14:useLocalDpi xmlns:a14="http://schemas.microsoft.com/office/drawing/2010/main" val="0"/>
            </a:ext>
          </a:extLst>
        </a:blip>
        <a:stretch>
          <a:fillRect/>
        </a:stretch>
      </xdr:blipFill>
      <xdr:spPr>
        <a:xfrm>
          <a:off x="3590925" y="819150"/>
          <a:ext cx="266700" cy="16896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352425</xdr:colOff>
          <xdr:row>19</xdr:row>
          <xdr:rowOff>95250</xdr:rowOff>
        </xdr:from>
        <xdr:to>
          <xdr:col>2</xdr:col>
          <xdr:colOff>276225</xdr:colOff>
          <xdr:row>20</xdr:row>
          <xdr:rowOff>133350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48.040694212963" createdVersion="6" refreshedVersion="6" minRefreshableVersion="3" recordCount="98" xr:uid="{67E89538-29E0-4E74-B0BA-C0AFD4F3F828}">
  <cacheSource type="worksheet">
    <worksheetSource name="Production"/>
  </cacheSource>
  <cacheFields count="29">
    <cacheField name="Date" numFmtId="14">
      <sharedItems containsSemiMixedTypes="0" containsNonDate="0" containsDate="1" containsString="0" minDate="2015-01-18T00:00:00" maxDate="2020-11-02T00:00:00" count="96">
        <d v="2020-11-01T00:00:00"/>
        <d v="2016-11-13T00:00:00"/>
        <d v="2016-07-27T00:00:00"/>
        <d v="2016-12-07T00:00:00"/>
        <d v="2019-03-22T00:00:00"/>
        <d v="2015-10-22T00:00:00"/>
        <d v="2015-02-25T00:00:00"/>
        <d v="2015-01-18T00:00:00"/>
        <d v="2019-07-18T00:00:00"/>
        <d v="2016-06-22T00:00:00"/>
        <d v="2016-06-19T00:00:00"/>
        <d v="2016-02-08T00:00:00"/>
        <d v="2016-01-06T00:00:00"/>
        <d v="2017-04-15T00:00:00"/>
        <d v="2016-04-06T00:00:00"/>
        <d v="2015-08-31T00:00:00"/>
        <d v="2017-02-28T00:00:00"/>
        <d v="2019-03-05T00:00:00"/>
        <d v="2019-06-17T00:00:00"/>
        <d v="2019-08-18T00:00:00"/>
        <d v="2017-04-21T00:00:00"/>
        <d v="2017-06-18T00:00:00"/>
        <d v="2016-07-29T00:00:00"/>
        <d v="2017-02-18T00:00:00"/>
        <d v="2019-05-06T00:00:00"/>
        <d v="2019-02-19T00:00:00"/>
        <d v="2019-07-22T00:00:00"/>
        <d v="2019-06-12T00:00:00"/>
        <d v="2017-06-16T00:00:00"/>
        <d v="2019-12-07T00:00:00"/>
        <d v="2016-02-29T00:00:00"/>
        <d v="2015-10-19T00:00:00"/>
        <d v="2019-03-24T00:00:00"/>
        <d v="2016-03-02T00:00:00"/>
        <d v="2019-02-01T00:00:00"/>
        <d v="2015-05-13T00:00:00"/>
        <d v="2015-03-15T00:00:00"/>
        <d v="2019-06-16T00:00:00"/>
        <d v="2015-01-19T00:00:00"/>
        <d v="2019-09-08T00:00:00"/>
        <d v="2015-09-26T00:00:00"/>
        <d v="2015-11-19T00:00:00"/>
        <d v="2019-08-31T00:00:00"/>
        <d v="2015-03-29T00:00:00"/>
        <d v="2016-10-04T00:00:00"/>
        <d v="2019-02-15T00:00:00"/>
        <d v="2016-09-01T00:00:00"/>
        <d v="2015-03-16T00:00:00"/>
        <d v="2018-01-05T00:00:00"/>
        <d v="2018-01-04T00:00:00"/>
        <d v="2017-05-31T00:00:00"/>
        <d v="2018-01-31T00:00:00"/>
        <d v="2015-10-27T00:00:00"/>
        <d v="2018-03-03T00:00:00"/>
        <d v="2019-04-09T00:00:00"/>
        <d v="2017-06-20T00:00:00"/>
        <d v="2018-08-19T00:00:00"/>
        <d v="2018-02-28T00:00:00"/>
        <d v="2019-04-03T00:00:00"/>
        <d v="2015-02-27T00:00:00"/>
        <d v="2017-01-01T00:00:00"/>
        <d v="2016-02-11T00:00:00"/>
        <d v="2015-07-24T00:00:00"/>
        <d v="2019-10-03T00:00:00"/>
        <d v="2016-05-14T00:00:00"/>
        <d v="2016-08-15T00:00:00"/>
        <d v="2018-07-31T00:00:00"/>
        <d v="2016-01-08T00:00:00"/>
        <d v="2016-05-13T00:00:00"/>
        <d v="2018-02-03T00:00:00"/>
        <d v="2019-10-06T00:00:00"/>
        <d v="2017-11-06T00:00:00"/>
        <d v="2017-06-11T00:00:00"/>
        <d v="2015-11-14T00:00:00"/>
        <d v="2015-09-24T00:00:00"/>
        <d v="2017-01-17T00:00:00"/>
        <d v="2016-05-19T00:00:00"/>
        <d v="2019-05-19T00:00:00"/>
        <d v="2018-08-10T00:00:00"/>
        <d v="2016-11-01T00:00:00"/>
        <d v="2018-12-26T00:00:00"/>
        <d v="2019-11-07T00:00:00"/>
        <d v="2015-09-21T00:00:00"/>
        <d v="2016-05-11T00:00:00"/>
        <d v="2016-09-29T00:00:00"/>
        <d v="2015-08-13T00:00:00"/>
        <d v="2015-04-20T00:00:00"/>
        <d v="2018-10-13T00:00:00"/>
        <d v="2018-02-09T00:00:00"/>
        <d v="2015-06-18T00:00:00"/>
        <d v="2017-05-03T00:00:00"/>
        <d v="2017-02-15T00:00:00"/>
        <d v="2019-02-25T00:00:00"/>
        <d v="2015-01-29T00:00:00"/>
        <d v="2015-09-14T00:00:00"/>
        <d v="2019-03-03T00:00:00"/>
      </sharedItems>
      <fieldGroup par="28" base="0">
        <rangePr groupBy="months" startDate="2015-01-18T00:00:00" endDate="2020-11-02T00:00:00"/>
        <groupItems count="14">
          <s v="&lt;01/18/2015"/>
          <s v="Jan"/>
          <s v="Feb"/>
          <s v="Mar"/>
          <s v="Apr"/>
          <s v="May"/>
          <s v="Jun"/>
          <s v="Jul"/>
          <s v="Aug"/>
          <s v="Sep"/>
          <s v="Oct"/>
          <s v="Nov"/>
          <s v="Dec"/>
          <s v="&gt;11/02/2020"/>
        </groupItems>
      </fieldGroup>
    </cacheField>
    <cacheField name="Shift" numFmtId="0">
      <sharedItems containsSemiMixedTypes="0" containsString="0" containsNumber="1" containsInteger="1" minValue="1" maxValue="3" count="3">
        <n v="3"/>
        <n v="2"/>
        <n v="1"/>
      </sharedItems>
    </cacheField>
    <cacheField name="Line" numFmtId="0">
      <sharedItems count="5">
        <s v="Line 3"/>
        <s v="Line 5"/>
        <s v="Line 2"/>
        <s v="Line 1"/>
        <s v="Line 4"/>
      </sharedItems>
    </cacheField>
    <cacheField name="Product" numFmtId="0">
      <sharedItems count="7">
        <s v="ABB"/>
        <s v="CCC"/>
        <s v="ABC"/>
        <s v="AAA"/>
        <s v="DDC"/>
        <s v="DBA"/>
        <s v="CFD"/>
      </sharedItems>
    </cacheField>
    <cacheField name="Actual Run Time (Hrs)" numFmtId="166">
      <sharedItems containsSemiMixedTypes="0" containsString="0" containsNumber="1" containsInteger="1" minValue="4" maxValue="7"/>
    </cacheField>
    <cacheField name="Available time (Hrs)" numFmtId="166">
      <sharedItems containsSemiMixedTypes="0" containsString="0" containsNumber="1" containsInteger="1" minValue="8" maxValue="8"/>
    </cacheField>
    <cacheField name="Planned downtime (Hrs)" numFmtId="166">
      <sharedItems containsSemiMixedTypes="0" containsString="0" containsNumber="1" containsInteger="1" minValue="1" maxValue="1"/>
    </cacheField>
    <cacheField name="Available Run Time (Hrs)" numFmtId="166">
      <sharedItems containsSemiMixedTypes="0" containsString="0" containsNumber="1" containsInteger="1" minValue="7" maxValue="7"/>
    </cacheField>
    <cacheField name="Lose Time (Hrs)" numFmtId="166">
      <sharedItems containsSemiMixedTypes="0" containsString="0" containsNumber="1" containsInteger="1" minValue="0" maxValue="3"/>
    </cacheField>
    <cacheField name="Failure Root Cause" numFmtId="0">
      <sharedItems containsBlank="1" count="9">
        <s v="Material preparation"/>
        <s v="Mold problem"/>
        <s v="Machine problem"/>
        <s v="Sudden plan change"/>
        <m/>
        <s v="Workers shortage"/>
        <s v="Material delay"/>
        <s v="Quality issue"/>
        <s v="Packing shortage"/>
      </sharedItems>
    </cacheField>
    <cacheField name="Target Quantity" numFmtId="165">
      <sharedItems containsSemiMixedTypes="0" containsString="0" containsNumber="1" minValue="600" maxValue="720"/>
    </cacheField>
    <cacheField name="Ok Quantity" numFmtId="165">
      <sharedItems containsSemiMixedTypes="0" containsString="0" containsNumber="1" containsInteger="1" minValue="400" maxValue="500"/>
    </cacheField>
    <cacheField name="Defect Quantity" numFmtId="165">
      <sharedItems containsSemiMixedTypes="0" containsString="0" containsNumber="1" containsInteger="1" minValue="12" maxValue="170"/>
    </cacheField>
    <cacheField name="Breakdowns" numFmtId="0">
      <sharedItems containsSemiMixedTypes="0" containsString="0" containsNumber="1" containsInteger="1" minValue="0" maxValue="3"/>
    </cacheField>
    <cacheField name="Defect %" numFmtId="9">
      <sharedItems containsSemiMixedTypes="0" containsString="0" containsNumber="1" minValue="2.4489795918367346E-2" maxValue="0.26845637583892618"/>
    </cacheField>
    <cacheField name="Plan Achieve %" numFmtId="9">
      <sharedItems containsSemiMixedTypes="0" containsString="0" containsNumber="1" minValue="0.55833333333333335" maxValue="0.82"/>
    </cacheField>
    <cacheField name="Defect Cost" numFmtId="165">
      <sharedItems containsSemiMixedTypes="0" containsString="0" containsNumber="1" containsInteger="1" minValue="504" maxValue="9350"/>
    </cacheField>
    <cacheField name="Lose Time Cost" numFmtId="165">
      <sharedItems containsSemiMixedTypes="0" containsString="0" containsNumber="1" containsInteger="1" minValue="0" maxValue="4500"/>
    </cacheField>
    <cacheField name="Total Lose Cost" numFmtId="165">
      <sharedItems containsSemiMixedTypes="0" containsString="0" containsNumber="1" containsInteger="1" minValue="504" maxValue="9350"/>
    </cacheField>
    <cacheField name="UPH" numFmtId="1">
      <sharedItems containsSemiMixedTypes="0" containsString="0" containsNumber="1" minValue="85.714285714285708" maxValue="102.85714285714286"/>
    </cacheField>
    <cacheField name="UPPH" numFmtId="1">
      <sharedItems containsSemiMixedTypes="0" containsString="0" containsNumber="1" minValue="17.142857142857142" maxValue="47.368421052631582"/>
    </cacheField>
    <cacheField name="MTBF (Hrs)" numFmtId="167">
      <sharedItems containsMixedTypes="1" containsNumber="1" minValue="1.3333333333333333" maxValue="7"/>
    </cacheField>
    <cacheField name="MTTR (Hrs)" numFmtId="167">
      <sharedItems containsMixedTypes="1" containsNumber="1" minValue="0" maxValue="3"/>
    </cacheField>
    <cacheField name="Availability %" numFmtId="9">
      <sharedItems containsSemiMixedTypes="0" containsString="0" containsNumber="1" minValue="0.5714285714285714" maxValue="1"/>
    </cacheField>
    <cacheField name="Performance %" numFmtId="9">
      <sharedItems containsSemiMixedTypes="0" containsString="0" containsNumber="1" minValue="0.62547619047619052" maxValue="1.04"/>
    </cacheField>
    <cacheField name="Quality %" numFmtId="9">
      <sharedItems containsSemiMixedTypes="0" containsString="0" containsNumber="1" minValue="0.73154362416107388" maxValue="0.97551020408163269"/>
    </cacheField>
    <cacheField name="OEE %" numFmtId="9">
      <sharedItems containsSemiMixedTypes="0" containsString="0" containsNumber="1" minValue="0.34999999999999992" maxValue="0.79365079365079361"/>
    </cacheField>
    <cacheField name="Quarters" numFmtId="0" databaseField="0">
      <fieldGroup base="0">
        <rangePr groupBy="quarters" startDate="2015-01-18T00:00:00" endDate="2020-11-02T00:00:00"/>
        <groupItems count="6">
          <s v="&lt;01/18/2015"/>
          <s v="Qtr1"/>
          <s v="Qtr2"/>
          <s v="Qtr3"/>
          <s v="Qtr4"/>
          <s v="&gt;11/02/2020"/>
        </groupItems>
      </fieldGroup>
    </cacheField>
    <cacheField name="Years" numFmtId="0" databaseField="0">
      <fieldGroup base="0">
        <rangePr groupBy="years" startDate="2015-01-18T00:00:00" endDate="2020-11-02T00:00:00"/>
        <groupItems count="8">
          <s v="&lt;01/18/2015"/>
          <s v="2015"/>
          <s v="2016"/>
          <s v="2017"/>
          <s v="2018"/>
          <s v="2019"/>
          <s v="2020"/>
          <s v="&gt;11/02/2020"/>
        </groupItems>
      </fieldGroup>
    </cacheField>
  </cacheFields>
  <extLst>
    <ext xmlns:x14="http://schemas.microsoft.com/office/spreadsheetml/2009/9/main" uri="{725AE2AE-9491-48be-B2B4-4EB974FC3084}">
      <x14:pivotCacheDefinition pivotCacheId="4168221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
  <r>
    <x v="0"/>
    <x v="0"/>
    <x v="0"/>
    <x v="0"/>
    <n v="7"/>
    <n v="8"/>
    <n v="1"/>
    <n v="7"/>
    <n v="0"/>
    <x v="0"/>
    <n v="720"/>
    <n v="463"/>
    <n v="20"/>
    <n v="1"/>
    <n v="4.1407867494824016E-2"/>
    <n v="0.6430555555555556"/>
    <n v="1000"/>
    <n v="0"/>
    <n v="1000"/>
    <n v="102.85714285714286"/>
    <n v="34.285714285714285"/>
    <n v="7"/>
    <n v="0"/>
    <n v="1"/>
    <n v="0.67083333333333328"/>
    <n v="0.95859213250517594"/>
    <n v="0.64305555555555549"/>
  </r>
  <r>
    <x v="1"/>
    <x v="1"/>
    <x v="1"/>
    <x v="0"/>
    <n v="4"/>
    <n v="8"/>
    <n v="1"/>
    <n v="7"/>
    <n v="3"/>
    <x v="0"/>
    <n v="720"/>
    <n v="444"/>
    <n v="74"/>
    <n v="2"/>
    <n v="0.14285714285714285"/>
    <n v="0.6166666666666667"/>
    <n v="3700"/>
    <n v="3900"/>
    <n v="7600"/>
    <n v="102.85714285714286"/>
    <n v="34.285714285714285"/>
    <n v="2"/>
    <n v="1.5"/>
    <n v="0.5714285714285714"/>
    <n v="0.71944444444444444"/>
    <n v="0.8571428571428571"/>
    <n v="0.35238095238095229"/>
  </r>
  <r>
    <x v="2"/>
    <x v="1"/>
    <x v="2"/>
    <x v="1"/>
    <n v="6"/>
    <n v="8"/>
    <n v="1"/>
    <n v="7"/>
    <n v="1"/>
    <x v="1"/>
    <n v="681.08108108108104"/>
    <n v="443"/>
    <n v="74"/>
    <n v="1"/>
    <n v="0.14313346228239845"/>
    <n v="0.65043650793650798"/>
    <n v="4070"/>
    <n v="1200"/>
    <n v="5270"/>
    <n v="97.297297297297291"/>
    <n v="32.432432432432428"/>
    <n v="6"/>
    <n v="1"/>
    <n v="0.8571428571428571"/>
    <n v="0.75908730158730164"/>
    <n v="0.85686653771760157"/>
    <n v="0.55751700680272109"/>
  </r>
  <r>
    <x v="3"/>
    <x v="0"/>
    <x v="1"/>
    <x v="2"/>
    <n v="6"/>
    <n v="8"/>
    <n v="1"/>
    <n v="7"/>
    <n v="1"/>
    <x v="2"/>
    <n v="630"/>
    <n v="470"/>
    <n v="58"/>
    <n v="1"/>
    <n v="0.10984848484848485"/>
    <n v="0.74603174603174605"/>
    <n v="3480"/>
    <n v="1300"/>
    <n v="4780"/>
    <n v="90"/>
    <n v="22.5"/>
    <n v="6"/>
    <n v="1"/>
    <n v="0.8571428571428571"/>
    <n v="0.83809523809523812"/>
    <n v="0.89015151515151514"/>
    <n v="0.6394557823129251"/>
  </r>
  <r>
    <x v="4"/>
    <x v="0"/>
    <x v="1"/>
    <x v="0"/>
    <n v="4"/>
    <n v="8"/>
    <n v="1"/>
    <n v="7"/>
    <n v="3"/>
    <x v="3"/>
    <n v="720"/>
    <n v="466"/>
    <n v="65"/>
    <n v="3"/>
    <n v="0.1224105461393597"/>
    <n v="0.64722222222222225"/>
    <n v="3250"/>
    <n v="3900"/>
    <n v="7150"/>
    <n v="102.85714285714286"/>
    <n v="34.285714285714285"/>
    <n v="1.3333333333333333"/>
    <n v="1"/>
    <n v="0.5714285714285714"/>
    <n v="0.73750000000000004"/>
    <n v="0.87758945386064036"/>
    <n v="0.36984126984126986"/>
  </r>
  <r>
    <x v="5"/>
    <x v="1"/>
    <x v="3"/>
    <x v="1"/>
    <n v="7"/>
    <n v="8"/>
    <n v="1"/>
    <n v="7"/>
    <n v="0"/>
    <x v="4"/>
    <n v="681.08108108108104"/>
    <n v="499"/>
    <n v="100"/>
    <n v="0"/>
    <n v="0.1669449081803005"/>
    <n v="0.73265873015873018"/>
    <n v="5500"/>
    <n v="0"/>
    <n v="5500"/>
    <n v="97.297297297297291"/>
    <n v="32.432432432432428"/>
    <s v=""/>
    <s v=""/>
    <n v="1"/>
    <n v="0.87948412698412703"/>
    <n v="0.8330550918196995"/>
    <n v="0.73265873015873018"/>
  </r>
  <r>
    <x v="6"/>
    <x v="2"/>
    <x v="3"/>
    <x v="3"/>
    <n v="4"/>
    <n v="8"/>
    <n v="1"/>
    <n v="7"/>
    <n v="3"/>
    <x v="3"/>
    <n v="630"/>
    <n v="450"/>
    <n v="120"/>
    <n v="1"/>
    <n v="0.21052631578947367"/>
    <n v="0.7142857142857143"/>
    <n v="4800"/>
    <n v="3000"/>
    <n v="7800"/>
    <n v="90"/>
    <n v="30"/>
    <n v="4"/>
    <n v="3"/>
    <n v="0.5714285714285714"/>
    <n v="0.90476190476190477"/>
    <n v="0.78947368421052633"/>
    <n v="0.40816326530612246"/>
  </r>
  <r>
    <x v="7"/>
    <x v="2"/>
    <x v="0"/>
    <x v="4"/>
    <n v="7"/>
    <n v="8"/>
    <n v="1"/>
    <n v="7"/>
    <n v="0"/>
    <x v="4"/>
    <n v="600"/>
    <n v="417"/>
    <n v="33"/>
    <n v="0"/>
    <n v="7.3333333333333334E-2"/>
    <n v="0.69499999999999995"/>
    <n v="1683"/>
    <n v="0"/>
    <n v="1683"/>
    <n v="85.714285714285708"/>
    <n v="28.571428571428569"/>
    <s v=""/>
    <s v=""/>
    <n v="1"/>
    <n v="0.75"/>
    <n v="0.92666666666666664"/>
    <n v="0.69499999999999995"/>
  </r>
  <r>
    <x v="8"/>
    <x v="0"/>
    <x v="2"/>
    <x v="5"/>
    <n v="6"/>
    <n v="8"/>
    <n v="1"/>
    <n v="7"/>
    <n v="1"/>
    <x v="5"/>
    <n v="600"/>
    <n v="412"/>
    <n v="78"/>
    <n v="1"/>
    <n v="0.15918367346938775"/>
    <n v="0.68666666666666665"/>
    <n v="2730"/>
    <n v="1200"/>
    <n v="3930"/>
    <n v="85.714285714285708"/>
    <n v="17.142857142857142"/>
    <n v="6"/>
    <n v="1"/>
    <n v="0.8571428571428571"/>
    <n v="0.81666666666666665"/>
    <n v="0.84081632653061222"/>
    <n v="0.58857142857142852"/>
  </r>
  <r>
    <x v="9"/>
    <x v="2"/>
    <x v="2"/>
    <x v="6"/>
    <n v="5"/>
    <n v="8"/>
    <n v="1"/>
    <n v="7"/>
    <n v="2"/>
    <x v="2"/>
    <n v="663.1578947368422"/>
    <n v="493"/>
    <n v="63"/>
    <n v="1"/>
    <n v="0.11330935251798561"/>
    <n v="0.7434126984126983"/>
    <n v="2646"/>
    <n v="2400"/>
    <n v="5046"/>
    <n v="94.736842105263165"/>
    <n v="47.368421052631582"/>
    <n v="5"/>
    <n v="2"/>
    <n v="0.7142857142857143"/>
    <n v="0.83841269841269828"/>
    <n v="0.88669064748201443"/>
    <n v="0.5310090702947845"/>
  </r>
  <r>
    <x v="10"/>
    <x v="0"/>
    <x v="2"/>
    <x v="4"/>
    <n v="7"/>
    <n v="8"/>
    <n v="1"/>
    <n v="7"/>
    <n v="0"/>
    <x v="4"/>
    <n v="600"/>
    <n v="467"/>
    <n v="80"/>
    <n v="0"/>
    <n v="0.14625228519195613"/>
    <n v="0.77833333333333332"/>
    <n v="4080"/>
    <n v="0"/>
    <n v="4080"/>
    <n v="85.714285714285708"/>
    <n v="28.571428571428569"/>
    <s v=""/>
    <s v=""/>
    <n v="1"/>
    <n v="0.91166666666666663"/>
    <n v="0.8537477148080439"/>
    <n v="0.77833333333333332"/>
  </r>
  <r>
    <x v="11"/>
    <x v="1"/>
    <x v="2"/>
    <x v="3"/>
    <n v="7"/>
    <n v="8"/>
    <n v="1"/>
    <n v="7"/>
    <n v="0"/>
    <x v="4"/>
    <n v="630"/>
    <n v="416"/>
    <n v="67"/>
    <n v="0"/>
    <n v="0.13871635610766045"/>
    <n v="0.6603174603174603"/>
    <n v="2680"/>
    <n v="0"/>
    <n v="2680"/>
    <n v="90"/>
    <n v="30"/>
    <s v=""/>
    <s v=""/>
    <n v="1"/>
    <n v="0.76666666666666672"/>
    <n v="0.86128364389233958"/>
    <n v="0.66031746031746041"/>
  </r>
  <r>
    <x v="12"/>
    <x v="0"/>
    <x v="0"/>
    <x v="6"/>
    <n v="7"/>
    <n v="8"/>
    <n v="1"/>
    <n v="7"/>
    <n v="0"/>
    <x v="4"/>
    <n v="663.1578947368422"/>
    <n v="415"/>
    <n v="35"/>
    <n v="0"/>
    <n v="7.7777777777777779E-2"/>
    <n v="0.62579365079365068"/>
    <n v="1470"/>
    <n v="0"/>
    <n v="1470"/>
    <n v="94.736842105263165"/>
    <n v="47.368421052631582"/>
    <s v=""/>
    <s v=""/>
    <n v="1"/>
    <n v="0.67857142857142849"/>
    <n v="0.92222222222222228"/>
    <n v="0.62579365079365079"/>
  </r>
  <r>
    <x v="13"/>
    <x v="0"/>
    <x v="1"/>
    <x v="4"/>
    <n v="5"/>
    <n v="8"/>
    <n v="1"/>
    <n v="7"/>
    <n v="2"/>
    <x v="6"/>
    <n v="600"/>
    <n v="492"/>
    <n v="67"/>
    <n v="0"/>
    <n v="0.11985688729874776"/>
    <n v="0.82"/>
    <n v="3417"/>
    <n v="2600"/>
    <n v="6017"/>
    <n v="85.714285714285708"/>
    <n v="28.571428571428569"/>
    <s v=""/>
    <s v=""/>
    <n v="0.7142857142857143"/>
    <n v="0.93166666666666664"/>
    <n v="0.88014311270125223"/>
    <n v="0.58571428571428574"/>
  </r>
  <r>
    <x v="14"/>
    <x v="1"/>
    <x v="4"/>
    <x v="4"/>
    <n v="6"/>
    <n v="8"/>
    <n v="1"/>
    <n v="7"/>
    <n v="1"/>
    <x v="2"/>
    <n v="600"/>
    <n v="461"/>
    <n v="80"/>
    <n v="1"/>
    <n v="0.1478743068391867"/>
    <n v="0.76833333333333331"/>
    <n v="4080"/>
    <n v="1500"/>
    <n v="5580"/>
    <n v="85.714285714285708"/>
    <n v="28.571428571428569"/>
    <n v="6"/>
    <n v="1"/>
    <n v="0.8571428571428571"/>
    <n v="0.90166666666666662"/>
    <n v="0.85212569316081332"/>
    <n v="0.65857142857142847"/>
  </r>
  <r>
    <x v="5"/>
    <x v="0"/>
    <x v="2"/>
    <x v="5"/>
    <n v="6"/>
    <n v="8"/>
    <n v="1"/>
    <n v="7"/>
    <n v="1"/>
    <x v="7"/>
    <n v="600"/>
    <n v="479"/>
    <n v="64"/>
    <n v="2"/>
    <n v="0.11786372007366483"/>
    <n v="0.79833333333333334"/>
    <n v="2240"/>
    <n v="1200"/>
    <n v="3440"/>
    <n v="85.714285714285708"/>
    <n v="17.142857142857142"/>
    <n v="3"/>
    <n v="0.5"/>
    <n v="0.8571428571428571"/>
    <n v="0.90500000000000003"/>
    <n v="0.88213627992633514"/>
    <n v="0.68428571428571427"/>
  </r>
  <r>
    <x v="15"/>
    <x v="0"/>
    <x v="4"/>
    <x v="1"/>
    <n v="4"/>
    <n v="8"/>
    <n v="1"/>
    <n v="7"/>
    <n v="3"/>
    <x v="1"/>
    <n v="681.08108108108104"/>
    <n v="435"/>
    <n v="72"/>
    <n v="3"/>
    <n v="0.14201183431952663"/>
    <n v="0.63869047619047625"/>
    <n v="3960"/>
    <n v="4500"/>
    <n v="8460"/>
    <n v="97.297297297297291"/>
    <n v="32.432432432432428"/>
    <n v="1.3333333333333333"/>
    <n v="1"/>
    <n v="0.5714285714285714"/>
    <n v="0.7444047619047619"/>
    <n v="0.85798816568047342"/>
    <n v="0.36496598639455785"/>
  </r>
  <r>
    <x v="16"/>
    <x v="2"/>
    <x v="4"/>
    <x v="5"/>
    <n v="6"/>
    <n v="8"/>
    <n v="1"/>
    <n v="7"/>
    <n v="1"/>
    <x v="6"/>
    <n v="600"/>
    <n v="471"/>
    <n v="86"/>
    <n v="1"/>
    <n v="0.15439856373429084"/>
    <n v="0.78500000000000003"/>
    <n v="3010"/>
    <n v="1500"/>
    <n v="4510"/>
    <n v="85.714285714285708"/>
    <n v="17.142857142857142"/>
    <n v="6"/>
    <n v="1"/>
    <n v="0.8571428571428571"/>
    <n v="0.92833333333333334"/>
    <n v="0.84560143626570916"/>
    <n v="0.67285714285714282"/>
  </r>
  <r>
    <x v="17"/>
    <x v="2"/>
    <x v="4"/>
    <x v="2"/>
    <n v="5"/>
    <n v="8"/>
    <n v="1"/>
    <n v="7"/>
    <n v="2"/>
    <x v="3"/>
    <n v="630"/>
    <n v="489"/>
    <n v="56"/>
    <n v="1"/>
    <n v="0.10275229357798166"/>
    <n v="0.77619047619047621"/>
    <n v="3360"/>
    <n v="3000"/>
    <n v="6360"/>
    <n v="90"/>
    <n v="22.5"/>
    <n v="5"/>
    <n v="2"/>
    <n v="0.7142857142857143"/>
    <n v="0.86507936507936511"/>
    <n v="0.89724770642201834"/>
    <n v="0.55442176870748305"/>
  </r>
  <r>
    <x v="18"/>
    <x v="0"/>
    <x v="3"/>
    <x v="1"/>
    <n v="7"/>
    <n v="8"/>
    <n v="1"/>
    <n v="7"/>
    <n v="0"/>
    <x v="4"/>
    <n v="681.08108108108104"/>
    <n v="499"/>
    <n v="130"/>
    <n v="0"/>
    <n v="0.2066772655007949"/>
    <n v="0.73265873015873018"/>
    <n v="7150"/>
    <n v="0"/>
    <n v="7150"/>
    <n v="97.297297297297291"/>
    <n v="32.432432432432428"/>
    <s v=""/>
    <s v=""/>
    <n v="1"/>
    <n v="0.92353174603174604"/>
    <n v="0.7933227344992051"/>
    <n v="0.73265873015873018"/>
  </r>
  <r>
    <x v="19"/>
    <x v="2"/>
    <x v="2"/>
    <x v="4"/>
    <n v="6"/>
    <n v="8"/>
    <n v="1"/>
    <n v="7"/>
    <n v="1"/>
    <x v="0"/>
    <n v="600"/>
    <n v="405"/>
    <n v="77"/>
    <n v="1"/>
    <n v="0.15975103734439833"/>
    <n v="0.67500000000000004"/>
    <n v="3927"/>
    <n v="1200"/>
    <n v="5127"/>
    <n v="85.714285714285708"/>
    <n v="28.571428571428569"/>
    <n v="6"/>
    <n v="1"/>
    <n v="0.8571428571428571"/>
    <n v="0.80333333333333334"/>
    <n v="0.84024896265560167"/>
    <n v="0.57857142857142863"/>
  </r>
  <r>
    <x v="20"/>
    <x v="2"/>
    <x v="3"/>
    <x v="1"/>
    <n v="5"/>
    <n v="8"/>
    <n v="1"/>
    <n v="7"/>
    <n v="2"/>
    <x v="2"/>
    <n v="681.08108108108104"/>
    <n v="416"/>
    <n v="69"/>
    <n v="1"/>
    <n v="0.1422680412371134"/>
    <n v="0.61079365079365078"/>
    <n v="3795"/>
    <n v="2000"/>
    <n v="5795"/>
    <n v="97.297297297297291"/>
    <n v="32.432432432432428"/>
    <n v="5"/>
    <n v="2"/>
    <n v="0.7142857142857143"/>
    <n v="0.71210317460317463"/>
    <n v="0.85773195876288655"/>
    <n v="0.43628117913832198"/>
  </r>
  <r>
    <x v="21"/>
    <x v="1"/>
    <x v="3"/>
    <x v="0"/>
    <n v="4"/>
    <n v="8"/>
    <n v="1"/>
    <n v="7"/>
    <n v="3"/>
    <x v="0"/>
    <n v="720"/>
    <n v="441"/>
    <n v="84"/>
    <n v="1"/>
    <n v="0.16"/>
    <n v="0.61250000000000004"/>
    <n v="4200"/>
    <n v="3000"/>
    <n v="7200"/>
    <n v="102.85714285714286"/>
    <n v="34.285714285714285"/>
    <n v="4"/>
    <n v="3"/>
    <n v="0.5714285714285714"/>
    <n v="0.72916666666666663"/>
    <n v="0.84"/>
    <n v="0.34999999999999992"/>
  </r>
  <r>
    <x v="22"/>
    <x v="1"/>
    <x v="3"/>
    <x v="1"/>
    <n v="6"/>
    <n v="8"/>
    <n v="1"/>
    <n v="7"/>
    <n v="1"/>
    <x v="0"/>
    <n v="681.08108108108104"/>
    <n v="469"/>
    <n v="57"/>
    <n v="1"/>
    <n v="0.10836501901140684"/>
    <n v="0.68861111111111117"/>
    <n v="3135"/>
    <n v="1000"/>
    <n v="4135"/>
    <n v="97.297297297297291"/>
    <n v="32.432432432432428"/>
    <n v="6"/>
    <n v="1"/>
    <n v="0.8571428571428571"/>
    <n v="0.77230158730158738"/>
    <n v="0.89163498098859317"/>
    <n v="0.59023809523809523"/>
  </r>
  <r>
    <x v="23"/>
    <x v="0"/>
    <x v="4"/>
    <x v="5"/>
    <n v="6"/>
    <n v="8"/>
    <n v="1"/>
    <n v="7"/>
    <n v="1"/>
    <x v="7"/>
    <n v="600"/>
    <n v="424"/>
    <n v="66"/>
    <n v="2"/>
    <n v="0.13469387755102041"/>
    <n v="0.70666666666666667"/>
    <n v="2310"/>
    <n v="1500"/>
    <n v="3810"/>
    <n v="85.714285714285708"/>
    <n v="17.142857142857142"/>
    <n v="3"/>
    <n v="0.5"/>
    <n v="0.8571428571428571"/>
    <n v="0.81666666666666665"/>
    <n v="0.86530612244897964"/>
    <n v="0.60571428571428565"/>
  </r>
  <r>
    <x v="24"/>
    <x v="2"/>
    <x v="2"/>
    <x v="2"/>
    <n v="6"/>
    <n v="8"/>
    <n v="1"/>
    <n v="7"/>
    <n v="1"/>
    <x v="6"/>
    <n v="630"/>
    <n v="442"/>
    <n v="73"/>
    <n v="1"/>
    <n v="0.14174757281553399"/>
    <n v="0.70158730158730154"/>
    <n v="4380"/>
    <n v="1200"/>
    <n v="5580"/>
    <n v="90"/>
    <n v="22.5"/>
    <n v="6"/>
    <n v="1"/>
    <n v="0.8571428571428571"/>
    <n v="0.81746031746031744"/>
    <n v="0.85825242718446604"/>
    <n v="0.60136054421768703"/>
  </r>
  <r>
    <x v="25"/>
    <x v="2"/>
    <x v="3"/>
    <x v="1"/>
    <n v="5"/>
    <n v="8"/>
    <n v="1"/>
    <n v="7"/>
    <n v="2"/>
    <x v="2"/>
    <n v="681.08108108108104"/>
    <n v="428"/>
    <n v="74"/>
    <n v="2"/>
    <n v="0.14741035856573706"/>
    <n v="0.62841269841269842"/>
    <n v="4070"/>
    <n v="2000"/>
    <n v="6070"/>
    <n v="97.297297297297291"/>
    <n v="32.432432432432428"/>
    <n v="2.5"/>
    <n v="1"/>
    <n v="0.7142857142857143"/>
    <n v="0.73706349206349209"/>
    <n v="0.85258964143426297"/>
    <n v="0.44886621315192743"/>
  </r>
  <r>
    <x v="26"/>
    <x v="2"/>
    <x v="3"/>
    <x v="6"/>
    <n v="7"/>
    <n v="8"/>
    <n v="1"/>
    <n v="7"/>
    <n v="0"/>
    <x v="4"/>
    <n v="663.1578947368422"/>
    <n v="459"/>
    <n v="62"/>
    <n v="0"/>
    <n v="0.11900191938579655"/>
    <n v="0.69214285714285706"/>
    <n v="2604"/>
    <n v="0"/>
    <n v="2604"/>
    <n v="94.736842105263165"/>
    <n v="47.368421052631582"/>
    <s v=""/>
    <s v=""/>
    <n v="1"/>
    <n v="0.78563492063492057"/>
    <n v="0.88099808061420348"/>
    <n v="0.69214285714285706"/>
  </r>
  <r>
    <x v="27"/>
    <x v="2"/>
    <x v="0"/>
    <x v="0"/>
    <n v="7"/>
    <n v="8"/>
    <n v="1"/>
    <n v="7"/>
    <n v="0"/>
    <x v="4"/>
    <n v="720"/>
    <n v="472"/>
    <n v="52"/>
    <n v="0"/>
    <n v="9.9236641221374045E-2"/>
    <n v="0.65555555555555556"/>
    <n v="2600"/>
    <n v="0"/>
    <n v="2600"/>
    <n v="102.85714285714286"/>
    <n v="34.285714285714285"/>
    <s v=""/>
    <s v=""/>
    <n v="1"/>
    <n v="0.72777777777777775"/>
    <n v="0.9007633587786259"/>
    <n v="0.65555555555555545"/>
  </r>
  <r>
    <x v="28"/>
    <x v="1"/>
    <x v="1"/>
    <x v="2"/>
    <n v="4"/>
    <n v="8"/>
    <n v="1"/>
    <n v="7"/>
    <n v="3"/>
    <x v="3"/>
    <n v="630"/>
    <n v="400"/>
    <n v="52"/>
    <n v="2"/>
    <n v="0.11504424778761062"/>
    <n v="0.63492063492063489"/>
    <n v="3120"/>
    <n v="3900"/>
    <n v="7020"/>
    <n v="90"/>
    <n v="22.5"/>
    <n v="2"/>
    <n v="1.5"/>
    <n v="0.5714285714285714"/>
    <n v="0.71746031746031746"/>
    <n v="0.88495575221238942"/>
    <n v="0.36281179138321995"/>
  </r>
  <r>
    <x v="29"/>
    <x v="0"/>
    <x v="4"/>
    <x v="0"/>
    <n v="6"/>
    <n v="8"/>
    <n v="1"/>
    <n v="7"/>
    <n v="1"/>
    <x v="0"/>
    <n v="720"/>
    <n v="451"/>
    <n v="62"/>
    <n v="2"/>
    <n v="0.12085769980506822"/>
    <n v="0.62638888888888888"/>
    <n v="3100"/>
    <n v="1500"/>
    <n v="4600"/>
    <n v="102.85714285714286"/>
    <n v="34.285714285714285"/>
    <n v="3"/>
    <n v="0.5"/>
    <n v="0.8571428571428571"/>
    <n v="0.71250000000000002"/>
    <n v="0.87914230019493178"/>
    <n v="0.53690476190476188"/>
  </r>
  <r>
    <x v="30"/>
    <x v="1"/>
    <x v="4"/>
    <x v="1"/>
    <n v="5"/>
    <n v="8"/>
    <n v="1"/>
    <n v="7"/>
    <n v="2"/>
    <x v="3"/>
    <n v="681.08108108108104"/>
    <n v="415"/>
    <n v="66"/>
    <n v="1"/>
    <n v="0.13721413721413722"/>
    <n v="0.60932539682539688"/>
    <n v="3630"/>
    <n v="3000"/>
    <n v="6630"/>
    <n v="97.297297297297291"/>
    <n v="32.432432432432428"/>
    <n v="5"/>
    <n v="2"/>
    <n v="0.7142857142857143"/>
    <n v="0.70623015873015882"/>
    <n v="0.86278586278586278"/>
    <n v="0.43523242630385495"/>
  </r>
  <r>
    <x v="31"/>
    <x v="2"/>
    <x v="4"/>
    <x v="4"/>
    <n v="7"/>
    <n v="8"/>
    <n v="1"/>
    <n v="7"/>
    <n v="0"/>
    <x v="4"/>
    <n v="600"/>
    <n v="426"/>
    <n v="81"/>
    <n v="0"/>
    <n v="0.15976331360946747"/>
    <n v="0.71"/>
    <n v="4131"/>
    <n v="0"/>
    <n v="4131"/>
    <n v="85.714285714285708"/>
    <n v="28.571428571428569"/>
    <s v=""/>
    <s v=""/>
    <n v="1"/>
    <n v="0.84499999999999997"/>
    <n v="0.84023668639053251"/>
    <n v="0.71"/>
  </r>
  <r>
    <x v="32"/>
    <x v="0"/>
    <x v="0"/>
    <x v="1"/>
    <n v="7"/>
    <n v="8"/>
    <n v="1"/>
    <n v="7"/>
    <n v="0"/>
    <x v="3"/>
    <n v="681.08108108108104"/>
    <n v="400"/>
    <n v="26"/>
    <n v="0"/>
    <n v="6.1032863849765258E-2"/>
    <n v="0.58730158730158732"/>
    <n v="1430"/>
    <n v="0"/>
    <n v="1430"/>
    <n v="97.297297297297291"/>
    <n v="32.432432432432428"/>
    <s v=""/>
    <s v=""/>
    <n v="1"/>
    <n v="0.62547619047619052"/>
    <n v="0.93896713615023475"/>
    <n v="0.58730158730158732"/>
  </r>
  <r>
    <x v="33"/>
    <x v="0"/>
    <x v="0"/>
    <x v="4"/>
    <n v="6"/>
    <n v="8"/>
    <n v="1"/>
    <n v="7"/>
    <n v="1"/>
    <x v="6"/>
    <n v="600"/>
    <n v="440"/>
    <n v="58"/>
    <n v="1"/>
    <n v="0.11646586345381527"/>
    <n v="0.73333333333333328"/>
    <n v="2958"/>
    <n v="900"/>
    <n v="3858"/>
    <n v="85.714285714285708"/>
    <n v="28.571428571428569"/>
    <n v="6"/>
    <n v="1"/>
    <n v="0.8571428571428571"/>
    <n v="0.83"/>
    <n v="0.88353413654618473"/>
    <n v="0.62857142857142845"/>
  </r>
  <r>
    <x v="34"/>
    <x v="1"/>
    <x v="1"/>
    <x v="2"/>
    <n v="4"/>
    <n v="8"/>
    <n v="1"/>
    <n v="7"/>
    <n v="3"/>
    <x v="8"/>
    <n v="630"/>
    <n v="423"/>
    <n v="90"/>
    <n v="3"/>
    <n v="0.17543859649122806"/>
    <n v="0.67142857142857137"/>
    <n v="5400"/>
    <n v="3900"/>
    <n v="9300"/>
    <n v="90"/>
    <n v="22.5"/>
    <n v="1.3333333333333333"/>
    <n v="1"/>
    <n v="0.5714285714285714"/>
    <n v="0.81428571428571428"/>
    <n v="0.82456140350877194"/>
    <n v="0.3836734693877551"/>
  </r>
  <r>
    <x v="35"/>
    <x v="1"/>
    <x v="1"/>
    <x v="1"/>
    <n v="5"/>
    <n v="8"/>
    <n v="1"/>
    <n v="7"/>
    <n v="2"/>
    <x v="1"/>
    <n v="681.08108108108104"/>
    <n v="473"/>
    <n v="64"/>
    <n v="3"/>
    <n v="0.11918063314711359"/>
    <n v="0.69448412698412698"/>
    <n v="3520"/>
    <n v="2600"/>
    <n v="6120"/>
    <n v="97.297297297297291"/>
    <n v="32.432432432432428"/>
    <n v="1.6666666666666667"/>
    <n v="0.66666666666666663"/>
    <n v="0.7142857142857143"/>
    <n v="0.78845238095238102"/>
    <n v="0.88081936685288642"/>
    <n v="0.49606009070294793"/>
  </r>
  <r>
    <x v="36"/>
    <x v="1"/>
    <x v="3"/>
    <x v="6"/>
    <n v="6"/>
    <n v="8"/>
    <n v="1"/>
    <n v="7"/>
    <n v="1"/>
    <x v="5"/>
    <n v="663.1578947368422"/>
    <n v="449"/>
    <n v="150"/>
    <n v="1"/>
    <n v="0.25041736227045075"/>
    <n v="0.67706349206349192"/>
    <n v="6300"/>
    <n v="1000"/>
    <n v="7300"/>
    <n v="94.736842105263165"/>
    <n v="47.368421052631582"/>
    <n v="6"/>
    <n v="1"/>
    <n v="0.8571428571428571"/>
    <n v="0.90325396825396809"/>
    <n v="0.74958263772954925"/>
    <n v="0.58034013605442158"/>
  </r>
  <r>
    <x v="37"/>
    <x v="1"/>
    <x v="2"/>
    <x v="0"/>
    <n v="6"/>
    <n v="8"/>
    <n v="1"/>
    <n v="7"/>
    <n v="1"/>
    <x v="8"/>
    <n v="720"/>
    <n v="406"/>
    <n v="70"/>
    <n v="2"/>
    <n v="0.14705882352941177"/>
    <n v="0.56388888888888888"/>
    <n v="3500"/>
    <n v="1200"/>
    <n v="4700"/>
    <n v="102.85714285714286"/>
    <n v="34.285714285714285"/>
    <n v="3"/>
    <n v="0.5"/>
    <n v="0.8571428571428571"/>
    <n v="0.66111111111111109"/>
    <n v="0.8529411764705882"/>
    <n v="0.48333333333333328"/>
  </r>
  <r>
    <x v="38"/>
    <x v="0"/>
    <x v="4"/>
    <x v="0"/>
    <n v="5"/>
    <n v="8"/>
    <n v="1"/>
    <n v="7"/>
    <n v="2"/>
    <x v="0"/>
    <n v="720"/>
    <n v="426"/>
    <n v="60"/>
    <n v="2"/>
    <n v="0.12345679012345678"/>
    <n v="0.59166666666666667"/>
    <n v="3000"/>
    <n v="3000"/>
    <n v="6000"/>
    <n v="102.85714285714286"/>
    <n v="34.285714285714285"/>
    <n v="2.5"/>
    <n v="1"/>
    <n v="0.7142857142857143"/>
    <n v="0.67500000000000004"/>
    <n v="0.87654320987654322"/>
    <n v="0.42261904761904762"/>
  </r>
  <r>
    <x v="39"/>
    <x v="1"/>
    <x v="3"/>
    <x v="4"/>
    <n v="7"/>
    <n v="8"/>
    <n v="1"/>
    <n v="7"/>
    <n v="0"/>
    <x v="4"/>
    <n v="600"/>
    <n v="436"/>
    <n v="160"/>
    <n v="0"/>
    <n v="0.26845637583892618"/>
    <n v="0.72666666666666668"/>
    <n v="8160"/>
    <n v="0"/>
    <n v="8160"/>
    <n v="85.714285714285708"/>
    <n v="28.571428571428569"/>
    <s v=""/>
    <s v=""/>
    <n v="1"/>
    <n v="0.99333333333333329"/>
    <n v="0.73154362416107388"/>
    <n v="0.72666666666666668"/>
  </r>
  <r>
    <x v="40"/>
    <x v="2"/>
    <x v="2"/>
    <x v="0"/>
    <n v="5"/>
    <n v="8"/>
    <n v="1"/>
    <n v="7"/>
    <n v="2"/>
    <x v="5"/>
    <n v="720"/>
    <n v="453"/>
    <n v="61"/>
    <n v="2"/>
    <n v="0.11867704280155641"/>
    <n v="0.62916666666666665"/>
    <n v="3050"/>
    <n v="2400"/>
    <n v="5450"/>
    <n v="102.85714285714286"/>
    <n v="34.285714285714285"/>
    <n v="2.5"/>
    <n v="1"/>
    <n v="0.7142857142857143"/>
    <n v="0.71388888888888891"/>
    <n v="0.88132295719844356"/>
    <n v="0.44940476190476192"/>
  </r>
  <r>
    <x v="41"/>
    <x v="0"/>
    <x v="1"/>
    <x v="5"/>
    <n v="7"/>
    <n v="8"/>
    <n v="1"/>
    <n v="7"/>
    <n v="0"/>
    <x v="4"/>
    <n v="600"/>
    <n v="445"/>
    <n v="68"/>
    <n v="0"/>
    <n v="0.13255360623781676"/>
    <n v="0.7416666666666667"/>
    <n v="2380"/>
    <n v="0"/>
    <n v="2380"/>
    <n v="85.714285714285708"/>
    <n v="17.142857142857142"/>
    <s v=""/>
    <s v=""/>
    <n v="1"/>
    <n v="0.85499999999999998"/>
    <n v="0.86744639376218324"/>
    <n v="0.7416666666666667"/>
  </r>
  <r>
    <x v="42"/>
    <x v="2"/>
    <x v="1"/>
    <x v="0"/>
    <n v="7"/>
    <n v="8"/>
    <n v="1"/>
    <n v="7"/>
    <n v="0"/>
    <x v="4"/>
    <n v="720"/>
    <n v="402"/>
    <n v="84"/>
    <n v="0"/>
    <n v="0.1728395061728395"/>
    <n v="0.55833333333333335"/>
    <n v="4200"/>
    <n v="0"/>
    <n v="4200"/>
    <n v="102.85714285714286"/>
    <n v="34.285714285714285"/>
    <s v=""/>
    <s v=""/>
    <n v="1"/>
    <n v="0.67500000000000004"/>
    <n v="0.8271604938271605"/>
    <n v="0.55833333333333335"/>
  </r>
  <r>
    <x v="43"/>
    <x v="1"/>
    <x v="4"/>
    <x v="0"/>
    <n v="5"/>
    <n v="8"/>
    <n v="1"/>
    <n v="7"/>
    <n v="2"/>
    <x v="5"/>
    <n v="720"/>
    <n v="477"/>
    <n v="79"/>
    <n v="3"/>
    <n v="0.1420863309352518"/>
    <n v="0.66249999999999998"/>
    <n v="3950"/>
    <n v="3000"/>
    <n v="6950"/>
    <n v="102.85714285714286"/>
    <n v="34.285714285714285"/>
    <n v="1.6666666666666667"/>
    <n v="0.66666666666666663"/>
    <n v="0.7142857142857143"/>
    <n v="0.77222222222222225"/>
    <n v="0.8579136690647482"/>
    <n v="0.4732142857142857"/>
  </r>
  <r>
    <x v="44"/>
    <x v="0"/>
    <x v="1"/>
    <x v="6"/>
    <n v="7"/>
    <n v="8"/>
    <n v="1"/>
    <n v="7"/>
    <n v="0"/>
    <x v="4"/>
    <n v="663.1578947368422"/>
    <n v="445"/>
    <n v="69"/>
    <n v="0"/>
    <n v="0.13424124513618677"/>
    <n v="0.67103174603174598"/>
    <n v="2898"/>
    <n v="0"/>
    <n v="2898"/>
    <n v="94.736842105263165"/>
    <n v="47.368421052631582"/>
    <s v=""/>
    <s v=""/>
    <n v="1"/>
    <n v="0.77507936507936492"/>
    <n v="0.86575875486381326"/>
    <n v="0.67103174603174587"/>
  </r>
  <r>
    <x v="45"/>
    <x v="2"/>
    <x v="4"/>
    <x v="3"/>
    <n v="4"/>
    <n v="8"/>
    <n v="1"/>
    <n v="7"/>
    <n v="3"/>
    <x v="7"/>
    <n v="630"/>
    <n v="480"/>
    <n v="60"/>
    <n v="2"/>
    <n v="0.1111111111111111"/>
    <n v="0.76190476190476186"/>
    <n v="2400"/>
    <n v="4500"/>
    <n v="6900"/>
    <n v="90"/>
    <n v="30"/>
    <n v="2"/>
    <n v="1.5"/>
    <n v="0.5714285714285714"/>
    <n v="0.8571428571428571"/>
    <n v="0.88888888888888884"/>
    <n v="0.43537414965986387"/>
  </r>
  <r>
    <x v="46"/>
    <x v="1"/>
    <x v="2"/>
    <x v="3"/>
    <n v="7"/>
    <n v="8"/>
    <n v="1"/>
    <n v="7"/>
    <n v="0"/>
    <x v="4"/>
    <n v="630"/>
    <n v="496"/>
    <n v="51"/>
    <n v="0"/>
    <n v="9.3235831809872036E-2"/>
    <n v="0.78730158730158728"/>
    <n v="2040"/>
    <n v="0"/>
    <n v="2040"/>
    <n v="90"/>
    <n v="30"/>
    <s v=""/>
    <s v=""/>
    <n v="1"/>
    <n v="0.86825396825396828"/>
    <n v="0.90676416819012795"/>
    <n v="0.78730158730158728"/>
  </r>
  <r>
    <x v="47"/>
    <x v="1"/>
    <x v="3"/>
    <x v="3"/>
    <n v="5"/>
    <n v="8"/>
    <n v="1"/>
    <n v="7"/>
    <n v="2"/>
    <x v="1"/>
    <n v="630"/>
    <n v="418"/>
    <n v="89"/>
    <n v="1"/>
    <n v="0.17554240631163709"/>
    <n v="0.66349206349206347"/>
    <n v="3560"/>
    <n v="2000"/>
    <n v="5560"/>
    <n v="90"/>
    <n v="30"/>
    <n v="5"/>
    <n v="2"/>
    <n v="0.7142857142857143"/>
    <n v="0.80476190476190479"/>
    <n v="0.82445759368836291"/>
    <n v="0.47392290249433106"/>
  </r>
  <r>
    <x v="48"/>
    <x v="0"/>
    <x v="4"/>
    <x v="1"/>
    <n v="6"/>
    <n v="8"/>
    <n v="1"/>
    <n v="7"/>
    <n v="1"/>
    <x v="2"/>
    <n v="681.08108108108104"/>
    <n v="427"/>
    <n v="63"/>
    <n v="1"/>
    <n v="0.12857142857142856"/>
    <n v="0.62694444444444453"/>
    <n v="3465"/>
    <n v="1500"/>
    <n v="4965"/>
    <n v="97.297297297297291"/>
    <n v="32.432432432432428"/>
    <n v="6"/>
    <n v="1"/>
    <n v="0.8571428571428571"/>
    <n v="0.71944444444444444"/>
    <n v="0.87142857142857144"/>
    <n v="0.53738095238095229"/>
  </r>
  <r>
    <x v="49"/>
    <x v="2"/>
    <x v="3"/>
    <x v="5"/>
    <n v="5"/>
    <n v="8"/>
    <n v="1"/>
    <n v="7"/>
    <n v="2"/>
    <x v="6"/>
    <n v="600"/>
    <n v="484"/>
    <n v="140"/>
    <n v="1"/>
    <n v="0.22435897435897437"/>
    <n v="0.80666666666666664"/>
    <n v="4900"/>
    <n v="2000"/>
    <n v="6900"/>
    <n v="85.714285714285708"/>
    <n v="17.142857142857142"/>
    <n v="5"/>
    <n v="2"/>
    <n v="0.7142857142857143"/>
    <n v="1.04"/>
    <n v="0.77564102564102566"/>
    <n v="0.57619047619047625"/>
  </r>
  <r>
    <x v="50"/>
    <x v="0"/>
    <x v="0"/>
    <x v="6"/>
    <n v="7"/>
    <n v="8"/>
    <n v="1"/>
    <n v="7"/>
    <n v="0"/>
    <x v="4"/>
    <n v="663.1578947368422"/>
    <n v="478"/>
    <n v="12"/>
    <n v="0"/>
    <n v="2.4489795918367346E-2"/>
    <n v="0.72079365079365065"/>
    <n v="504"/>
    <n v="0"/>
    <n v="504"/>
    <n v="94.736842105263165"/>
    <n v="47.368421052631582"/>
    <s v=""/>
    <s v=""/>
    <n v="1"/>
    <n v="0.73888888888888882"/>
    <n v="0.97551020408163269"/>
    <n v="0.72079365079365076"/>
  </r>
  <r>
    <x v="51"/>
    <x v="1"/>
    <x v="4"/>
    <x v="3"/>
    <n v="6"/>
    <n v="8"/>
    <n v="1"/>
    <n v="7"/>
    <n v="1"/>
    <x v="2"/>
    <n v="630"/>
    <n v="410"/>
    <n v="60"/>
    <n v="1"/>
    <n v="0.1276595744680851"/>
    <n v="0.65079365079365081"/>
    <n v="2400"/>
    <n v="1500"/>
    <n v="3900"/>
    <n v="90"/>
    <n v="30"/>
    <n v="6"/>
    <n v="1"/>
    <n v="0.8571428571428571"/>
    <n v="0.74603174603174605"/>
    <n v="0.87234042553191493"/>
    <n v="0.55782312925170063"/>
  </r>
  <r>
    <x v="52"/>
    <x v="2"/>
    <x v="3"/>
    <x v="2"/>
    <n v="6"/>
    <n v="8"/>
    <n v="1"/>
    <n v="7"/>
    <n v="1"/>
    <x v="0"/>
    <n v="630"/>
    <n v="435"/>
    <n v="81"/>
    <n v="1"/>
    <n v="0.15697674418604651"/>
    <n v="0.69047619047619047"/>
    <n v="4860"/>
    <n v="1000"/>
    <n v="5860"/>
    <n v="90"/>
    <n v="22.5"/>
    <n v="6"/>
    <n v="1"/>
    <n v="0.8571428571428571"/>
    <n v="0.81904761904761902"/>
    <n v="0.84302325581395354"/>
    <n v="0.59183673469387754"/>
  </r>
  <r>
    <x v="53"/>
    <x v="2"/>
    <x v="1"/>
    <x v="4"/>
    <n v="5"/>
    <n v="8"/>
    <n v="1"/>
    <n v="7"/>
    <n v="2"/>
    <x v="3"/>
    <n v="600"/>
    <n v="446"/>
    <n v="62"/>
    <n v="1"/>
    <n v="0.12204724409448819"/>
    <n v="0.74333333333333329"/>
    <n v="3162"/>
    <n v="2600"/>
    <n v="5762"/>
    <n v="85.714285714285708"/>
    <n v="28.571428571428569"/>
    <n v="5"/>
    <n v="2"/>
    <n v="0.7142857142857143"/>
    <n v="0.84666666666666668"/>
    <n v="0.87795275590551181"/>
    <n v="0.53095238095238095"/>
  </r>
  <r>
    <x v="54"/>
    <x v="1"/>
    <x v="4"/>
    <x v="5"/>
    <n v="5"/>
    <n v="8"/>
    <n v="1"/>
    <n v="7"/>
    <n v="2"/>
    <x v="3"/>
    <n v="600"/>
    <n v="444"/>
    <n v="81"/>
    <n v="1"/>
    <n v="0.15428571428571428"/>
    <n v="0.74"/>
    <n v="2835"/>
    <n v="3000"/>
    <n v="5835"/>
    <n v="85.714285714285708"/>
    <n v="17.142857142857142"/>
    <n v="5"/>
    <n v="2"/>
    <n v="0.7142857142857143"/>
    <n v="0.875"/>
    <n v="0.84571428571428575"/>
    <n v="0.52857142857142858"/>
  </r>
  <r>
    <x v="55"/>
    <x v="0"/>
    <x v="4"/>
    <x v="5"/>
    <n v="7"/>
    <n v="8"/>
    <n v="1"/>
    <n v="7"/>
    <n v="0"/>
    <x v="4"/>
    <n v="600"/>
    <n v="429"/>
    <n v="73"/>
    <n v="0"/>
    <n v="0.1454183266932271"/>
    <n v="0.71499999999999997"/>
    <n v="2555"/>
    <n v="0"/>
    <n v="2555"/>
    <n v="85.714285714285708"/>
    <n v="17.142857142857142"/>
    <s v=""/>
    <s v=""/>
    <n v="1"/>
    <n v="0.83666666666666667"/>
    <n v="0.85458167330677293"/>
    <n v="0.71499999999999997"/>
  </r>
  <r>
    <x v="56"/>
    <x v="0"/>
    <x v="2"/>
    <x v="2"/>
    <n v="6"/>
    <n v="8"/>
    <n v="1"/>
    <n v="7"/>
    <n v="1"/>
    <x v="7"/>
    <n v="630"/>
    <n v="441"/>
    <n v="90"/>
    <n v="1"/>
    <n v="0.16949152542372881"/>
    <n v="0.7"/>
    <n v="5400"/>
    <n v="1200"/>
    <n v="6600"/>
    <n v="90"/>
    <n v="22.5"/>
    <n v="6"/>
    <n v="1"/>
    <n v="0.8571428571428571"/>
    <n v="0.84285714285714286"/>
    <n v="0.83050847457627119"/>
    <n v="0.6"/>
  </r>
  <r>
    <x v="57"/>
    <x v="0"/>
    <x v="4"/>
    <x v="3"/>
    <n v="5"/>
    <n v="8"/>
    <n v="1"/>
    <n v="7"/>
    <n v="2"/>
    <x v="1"/>
    <n v="630"/>
    <n v="482"/>
    <n v="79"/>
    <n v="1"/>
    <n v="0.1408199643493761"/>
    <n v="0.76507936507936503"/>
    <n v="3160"/>
    <n v="3000"/>
    <n v="6160"/>
    <n v="90"/>
    <n v="30"/>
    <n v="5"/>
    <n v="2"/>
    <n v="0.7142857142857143"/>
    <n v="0.89047619047619042"/>
    <n v="0.85918003565062384"/>
    <n v="0.54648526077097503"/>
  </r>
  <r>
    <x v="58"/>
    <x v="0"/>
    <x v="2"/>
    <x v="5"/>
    <n v="6"/>
    <n v="8"/>
    <n v="1"/>
    <n v="7"/>
    <n v="1"/>
    <x v="0"/>
    <n v="600"/>
    <n v="475"/>
    <n v="69"/>
    <n v="1"/>
    <n v="0.12683823529411764"/>
    <n v="0.79166666666666663"/>
    <n v="2415"/>
    <n v="1200"/>
    <n v="3615"/>
    <n v="85.714285714285708"/>
    <n v="17.142857142857142"/>
    <n v="6"/>
    <n v="1"/>
    <n v="0.8571428571428571"/>
    <n v="0.90666666666666662"/>
    <n v="0.87316176470588236"/>
    <n v="0.67857142857142849"/>
  </r>
  <r>
    <x v="59"/>
    <x v="1"/>
    <x v="3"/>
    <x v="1"/>
    <n v="7"/>
    <n v="8"/>
    <n v="1"/>
    <n v="7"/>
    <n v="0"/>
    <x v="4"/>
    <n v="681.08108108108104"/>
    <n v="407"/>
    <n v="78"/>
    <n v="0"/>
    <n v="0.16082474226804125"/>
    <n v="0.59757936507936515"/>
    <n v="4290"/>
    <n v="0"/>
    <n v="4290"/>
    <n v="97.297297297297291"/>
    <n v="32.432432432432428"/>
    <s v=""/>
    <s v=""/>
    <n v="1"/>
    <n v="0.71210317460317463"/>
    <n v="0.83917525773195878"/>
    <n v="0.59757936507936515"/>
  </r>
  <r>
    <x v="60"/>
    <x v="1"/>
    <x v="2"/>
    <x v="1"/>
    <n v="7"/>
    <n v="8"/>
    <n v="1"/>
    <n v="7"/>
    <n v="0"/>
    <x v="4"/>
    <n v="681.08108108108104"/>
    <n v="441"/>
    <n v="90"/>
    <n v="0"/>
    <n v="0.16949152542372881"/>
    <n v="0.64750000000000008"/>
    <n v="4950"/>
    <n v="0"/>
    <n v="4950"/>
    <n v="97.297297297297291"/>
    <n v="32.432432432432428"/>
    <s v=""/>
    <s v=""/>
    <n v="1"/>
    <n v="0.77964285714285719"/>
    <n v="0.83050847457627119"/>
    <n v="0.64750000000000008"/>
  </r>
  <r>
    <x v="61"/>
    <x v="0"/>
    <x v="2"/>
    <x v="1"/>
    <n v="5"/>
    <n v="8"/>
    <n v="1"/>
    <n v="7"/>
    <n v="2"/>
    <x v="0"/>
    <n v="681.08108108108104"/>
    <n v="404"/>
    <n v="57"/>
    <n v="2"/>
    <n v="0.12364425162689804"/>
    <n v="0.59317460317460324"/>
    <n v="3135"/>
    <n v="2400"/>
    <n v="5535"/>
    <n v="97.297297297297291"/>
    <n v="32.432432432432428"/>
    <n v="2.5"/>
    <n v="1"/>
    <n v="0.7142857142857143"/>
    <n v="0.67686507936507945"/>
    <n v="0.87635574837310193"/>
    <n v="0.42369614512471659"/>
  </r>
  <r>
    <x v="62"/>
    <x v="0"/>
    <x v="2"/>
    <x v="3"/>
    <n v="5"/>
    <n v="8"/>
    <n v="1"/>
    <n v="7"/>
    <n v="2"/>
    <x v="8"/>
    <n v="630"/>
    <n v="420"/>
    <n v="51"/>
    <n v="2"/>
    <n v="0.10828025477707007"/>
    <n v="0.66666666666666663"/>
    <n v="2040"/>
    <n v="2400"/>
    <n v="4440"/>
    <n v="90"/>
    <n v="30"/>
    <n v="2.5"/>
    <n v="1"/>
    <n v="0.7142857142857143"/>
    <n v="0.74761904761904763"/>
    <n v="0.89171974522292996"/>
    <n v="0.47619047619047628"/>
  </r>
  <r>
    <x v="63"/>
    <x v="1"/>
    <x v="2"/>
    <x v="4"/>
    <n v="5"/>
    <n v="8"/>
    <n v="1"/>
    <n v="7"/>
    <n v="2"/>
    <x v="8"/>
    <n v="600"/>
    <n v="426"/>
    <n v="71"/>
    <n v="3"/>
    <n v="0.14285714285714285"/>
    <n v="0.71"/>
    <n v="3621"/>
    <n v="2400"/>
    <n v="6021"/>
    <n v="85.714285714285708"/>
    <n v="28.571428571428569"/>
    <n v="1.6666666666666667"/>
    <n v="0.66666666666666663"/>
    <n v="0.7142857142857143"/>
    <n v="0.82833333333333337"/>
    <n v="0.8571428571428571"/>
    <n v="0.50714285714285712"/>
  </r>
  <r>
    <x v="64"/>
    <x v="0"/>
    <x v="0"/>
    <x v="4"/>
    <n v="6"/>
    <n v="8"/>
    <n v="1"/>
    <n v="7"/>
    <n v="1"/>
    <x v="5"/>
    <n v="600"/>
    <n v="421"/>
    <n v="59"/>
    <n v="0"/>
    <n v="0.12291666666666666"/>
    <n v="0.70166666666666666"/>
    <n v="3009"/>
    <n v="900"/>
    <n v="3909"/>
    <n v="85.714285714285708"/>
    <n v="28.571428571428569"/>
    <s v=""/>
    <s v=""/>
    <n v="0.8571428571428571"/>
    <n v="0.8"/>
    <n v="0.87708333333333333"/>
    <n v="0.60142857142857142"/>
  </r>
  <r>
    <x v="65"/>
    <x v="2"/>
    <x v="0"/>
    <x v="6"/>
    <n v="5"/>
    <n v="8"/>
    <n v="1"/>
    <n v="7"/>
    <n v="2"/>
    <x v="3"/>
    <n v="663.1578947368422"/>
    <n v="426"/>
    <n v="35"/>
    <n v="1"/>
    <n v="7.5921908893709325E-2"/>
    <n v="0.64238095238095227"/>
    <n v="1470"/>
    <n v="1800"/>
    <n v="3270"/>
    <n v="94.736842105263165"/>
    <n v="47.368421052631582"/>
    <n v="5"/>
    <n v="2"/>
    <n v="0.7142857142857143"/>
    <n v="0.69515873015873009"/>
    <n v="0.92407809110629069"/>
    <n v="0.45884353741496592"/>
  </r>
  <r>
    <x v="66"/>
    <x v="1"/>
    <x v="3"/>
    <x v="2"/>
    <n v="7"/>
    <n v="8"/>
    <n v="1"/>
    <n v="7"/>
    <n v="0"/>
    <x v="4"/>
    <n v="630"/>
    <n v="500"/>
    <n v="130"/>
    <n v="0"/>
    <n v="0.20634920634920634"/>
    <n v="0.79365079365079361"/>
    <n v="7800"/>
    <n v="0"/>
    <n v="7800"/>
    <n v="90"/>
    <n v="22.5"/>
    <s v=""/>
    <s v=""/>
    <n v="1"/>
    <n v="1"/>
    <n v="0.79365079365079361"/>
    <n v="0.79365079365079361"/>
  </r>
  <r>
    <x v="67"/>
    <x v="2"/>
    <x v="0"/>
    <x v="1"/>
    <n v="6"/>
    <n v="8"/>
    <n v="1"/>
    <n v="7"/>
    <n v="1"/>
    <x v="8"/>
    <n v="681.08108108108104"/>
    <n v="442"/>
    <n v="75"/>
    <n v="1"/>
    <n v="0.14506769825918761"/>
    <n v="0.64896825396825397"/>
    <n v="4125"/>
    <n v="900"/>
    <n v="5025"/>
    <n v="97.297297297297291"/>
    <n v="32.432432432432428"/>
    <n v="6"/>
    <n v="1"/>
    <n v="0.8571428571428571"/>
    <n v="0.75908730158730164"/>
    <n v="0.85493230174081236"/>
    <n v="0.55625850340136052"/>
  </r>
  <r>
    <x v="68"/>
    <x v="2"/>
    <x v="4"/>
    <x v="1"/>
    <n v="5"/>
    <n v="8"/>
    <n v="1"/>
    <n v="7"/>
    <n v="2"/>
    <x v="0"/>
    <n v="681.08108108108104"/>
    <n v="474"/>
    <n v="80"/>
    <n v="1"/>
    <n v="0.1444043321299639"/>
    <n v="0.69595238095238099"/>
    <n v="4400"/>
    <n v="3000"/>
    <n v="7400"/>
    <n v="97.297297297297291"/>
    <n v="32.432432432432428"/>
    <n v="5"/>
    <n v="2"/>
    <n v="0.7142857142857143"/>
    <n v="0.81341269841269848"/>
    <n v="0.85559566787003605"/>
    <n v="0.49710884353741502"/>
  </r>
  <r>
    <x v="69"/>
    <x v="2"/>
    <x v="4"/>
    <x v="3"/>
    <n v="4"/>
    <n v="8"/>
    <n v="1"/>
    <n v="7"/>
    <n v="3"/>
    <x v="7"/>
    <n v="630"/>
    <n v="429"/>
    <n v="84"/>
    <n v="2"/>
    <n v="0.16374269005847952"/>
    <n v="0.68095238095238098"/>
    <n v="3360"/>
    <n v="4500"/>
    <n v="7860"/>
    <n v="90"/>
    <n v="30"/>
    <n v="2"/>
    <n v="1.5"/>
    <n v="0.5714285714285714"/>
    <n v="0.81428571428571428"/>
    <n v="0.83625730994152048"/>
    <n v="0.38911564625850337"/>
  </r>
  <r>
    <x v="70"/>
    <x v="0"/>
    <x v="4"/>
    <x v="6"/>
    <n v="5"/>
    <n v="8"/>
    <n v="1"/>
    <n v="7"/>
    <n v="2"/>
    <x v="3"/>
    <n v="663.1578947368422"/>
    <n v="471"/>
    <n v="62"/>
    <n v="1"/>
    <n v="0.11632270168855535"/>
    <n v="0.71023809523809511"/>
    <n v="2604"/>
    <n v="3000"/>
    <n v="5604"/>
    <n v="94.736842105263165"/>
    <n v="47.368421052631582"/>
    <n v="5"/>
    <n v="2"/>
    <n v="0.7142857142857143"/>
    <n v="0.80373015873015863"/>
    <n v="0.8836772983114447"/>
    <n v="0.50731292517006799"/>
  </r>
  <r>
    <x v="71"/>
    <x v="1"/>
    <x v="0"/>
    <x v="1"/>
    <n v="7"/>
    <n v="8"/>
    <n v="1"/>
    <n v="7"/>
    <n v="0"/>
    <x v="0"/>
    <n v="681.08108108108104"/>
    <n v="496"/>
    <n v="35"/>
    <n v="1"/>
    <n v="6.5913370998116755E-2"/>
    <n v="0.72825396825396826"/>
    <n v="1925"/>
    <n v="0"/>
    <n v="1925"/>
    <n v="97.297297297297291"/>
    <n v="32.432432432432428"/>
    <n v="7"/>
    <n v="0"/>
    <n v="1"/>
    <n v="0.77964285714285719"/>
    <n v="0.93408662900188322"/>
    <n v="0.72825396825396826"/>
  </r>
  <r>
    <x v="72"/>
    <x v="2"/>
    <x v="4"/>
    <x v="2"/>
    <n v="6"/>
    <n v="8"/>
    <n v="1"/>
    <n v="7"/>
    <n v="1"/>
    <x v="3"/>
    <n v="630"/>
    <n v="434"/>
    <n v="83"/>
    <n v="2"/>
    <n v="0.16054158607350097"/>
    <n v="0.68888888888888888"/>
    <n v="4980"/>
    <n v="1500"/>
    <n v="6480"/>
    <n v="90"/>
    <n v="22.5"/>
    <n v="3"/>
    <n v="0.5"/>
    <n v="0.8571428571428571"/>
    <n v="0.82063492063492061"/>
    <n v="0.839458413926499"/>
    <n v="0.59047619047619049"/>
  </r>
  <r>
    <x v="73"/>
    <x v="0"/>
    <x v="4"/>
    <x v="4"/>
    <n v="7"/>
    <n v="8"/>
    <n v="1"/>
    <n v="7"/>
    <n v="0"/>
    <x v="4"/>
    <n v="600"/>
    <n v="432"/>
    <n v="54"/>
    <n v="0"/>
    <n v="0.1111111111111111"/>
    <n v="0.72"/>
    <n v="2754"/>
    <n v="0"/>
    <n v="2754"/>
    <n v="85.714285714285708"/>
    <n v="28.571428571428569"/>
    <s v=""/>
    <s v=""/>
    <n v="1"/>
    <n v="0.81"/>
    <n v="0.88888888888888884"/>
    <n v="0.72"/>
  </r>
  <r>
    <x v="74"/>
    <x v="2"/>
    <x v="1"/>
    <x v="6"/>
    <n v="5"/>
    <n v="8"/>
    <n v="1"/>
    <n v="7"/>
    <n v="2"/>
    <x v="1"/>
    <n v="663.1578947368422"/>
    <n v="479"/>
    <n v="87"/>
    <n v="1"/>
    <n v="0.15371024734982333"/>
    <n v="0.72230158730158722"/>
    <n v="3654"/>
    <n v="2600"/>
    <n v="6254"/>
    <n v="94.736842105263165"/>
    <n v="47.368421052631582"/>
    <n v="5"/>
    <n v="2"/>
    <n v="0.7142857142857143"/>
    <n v="0.85349206349206341"/>
    <n v="0.8462897526501767"/>
    <n v="0.51592970521541948"/>
  </r>
  <r>
    <x v="75"/>
    <x v="0"/>
    <x v="1"/>
    <x v="3"/>
    <n v="4"/>
    <n v="8"/>
    <n v="1"/>
    <n v="7"/>
    <n v="3"/>
    <x v="0"/>
    <n v="630"/>
    <n v="476"/>
    <n v="57"/>
    <n v="1"/>
    <n v="0.10694183864915573"/>
    <n v="0.75555555555555554"/>
    <n v="2280"/>
    <n v="3900"/>
    <n v="6180"/>
    <n v="90"/>
    <n v="30"/>
    <n v="4"/>
    <n v="3"/>
    <n v="0.5714285714285714"/>
    <n v="0.84603174603174602"/>
    <n v="0.89305816135084426"/>
    <n v="0.43174603174603171"/>
  </r>
  <r>
    <x v="76"/>
    <x v="2"/>
    <x v="2"/>
    <x v="4"/>
    <n v="6"/>
    <n v="8"/>
    <n v="1"/>
    <n v="7"/>
    <n v="1"/>
    <x v="0"/>
    <n v="600"/>
    <n v="474"/>
    <n v="76"/>
    <n v="2"/>
    <n v="0.13818181818181818"/>
    <n v="0.79"/>
    <n v="3876"/>
    <n v="1200"/>
    <n v="5076"/>
    <n v="85.714285714285708"/>
    <n v="28.571428571428569"/>
    <n v="3"/>
    <n v="0.5"/>
    <n v="0.8571428571428571"/>
    <n v="0.91666666666666663"/>
    <n v="0.86181818181818182"/>
    <n v="0.67714285714285705"/>
  </r>
  <r>
    <x v="77"/>
    <x v="1"/>
    <x v="4"/>
    <x v="2"/>
    <n v="4"/>
    <n v="8"/>
    <n v="1"/>
    <n v="7"/>
    <n v="3"/>
    <x v="3"/>
    <n v="630"/>
    <n v="489"/>
    <n v="69"/>
    <n v="3"/>
    <n v="0.12365591397849462"/>
    <n v="0.77619047619047621"/>
    <n v="4140"/>
    <n v="4500"/>
    <n v="8640"/>
    <n v="90"/>
    <n v="22.5"/>
    <n v="1.3333333333333333"/>
    <n v="1"/>
    <n v="0.5714285714285714"/>
    <n v="0.88571428571428568"/>
    <n v="0.87634408602150538"/>
    <n v="0.44353741496598637"/>
  </r>
  <r>
    <x v="78"/>
    <x v="2"/>
    <x v="4"/>
    <x v="2"/>
    <n v="7"/>
    <n v="8"/>
    <n v="1"/>
    <n v="7"/>
    <n v="0"/>
    <x v="4"/>
    <n v="630"/>
    <n v="457"/>
    <n v="55"/>
    <n v="0"/>
    <n v="0.107421875"/>
    <n v="0.72539682539682537"/>
    <n v="3300"/>
    <n v="0"/>
    <n v="3300"/>
    <n v="90"/>
    <n v="22.5"/>
    <s v=""/>
    <s v=""/>
    <n v="1"/>
    <n v="0.8126984126984127"/>
    <n v="0.892578125"/>
    <n v="0.72539682539682537"/>
  </r>
  <r>
    <x v="79"/>
    <x v="0"/>
    <x v="0"/>
    <x v="4"/>
    <n v="5"/>
    <n v="8"/>
    <n v="1"/>
    <n v="7"/>
    <n v="2"/>
    <x v="2"/>
    <n v="600"/>
    <n v="459"/>
    <n v="65"/>
    <n v="2"/>
    <n v="0.12404580152671756"/>
    <n v="0.76500000000000001"/>
    <n v="3315"/>
    <n v="1800"/>
    <n v="5115"/>
    <n v="85.714285714285708"/>
    <n v="28.571428571428569"/>
    <n v="2.5"/>
    <n v="1"/>
    <n v="0.7142857142857143"/>
    <n v="0.87333333333333329"/>
    <n v="0.87595419847328249"/>
    <n v="0.54642857142857149"/>
  </r>
  <r>
    <x v="80"/>
    <x v="1"/>
    <x v="4"/>
    <x v="5"/>
    <n v="6"/>
    <n v="8"/>
    <n v="1"/>
    <n v="7"/>
    <n v="1"/>
    <x v="3"/>
    <n v="600"/>
    <n v="408"/>
    <n v="89"/>
    <n v="1"/>
    <n v="0.17907444668008049"/>
    <n v="0.68"/>
    <n v="3115"/>
    <n v="1500"/>
    <n v="4615"/>
    <n v="85.714285714285708"/>
    <n v="17.142857142857142"/>
    <n v="6"/>
    <n v="1"/>
    <n v="0.8571428571428571"/>
    <n v="0.82833333333333337"/>
    <n v="0.82092555331991957"/>
    <n v="0.58285714285714285"/>
  </r>
  <r>
    <x v="81"/>
    <x v="2"/>
    <x v="3"/>
    <x v="6"/>
    <n v="6"/>
    <n v="8"/>
    <n v="1"/>
    <n v="7"/>
    <n v="1"/>
    <x v="0"/>
    <n v="663.1578947368422"/>
    <n v="416"/>
    <n v="80"/>
    <n v="1"/>
    <n v="0.16129032258064516"/>
    <n v="0.62730158730158725"/>
    <n v="3360"/>
    <n v="1000"/>
    <n v="4360"/>
    <n v="94.736842105263165"/>
    <n v="47.368421052631582"/>
    <n v="6"/>
    <n v="1"/>
    <n v="0.8571428571428571"/>
    <n v="0.74793650793650779"/>
    <n v="0.83870967741935487"/>
    <n v="0.53768707482993194"/>
  </r>
  <r>
    <x v="82"/>
    <x v="2"/>
    <x v="2"/>
    <x v="1"/>
    <n v="7"/>
    <n v="8"/>
    <n v="1"/>
    <n v="7"/>
    <n v="0"/>
    <x v="4"/>
    <n v="681.08108108108104"/>
    <n v="414"/>
    <n v="70"/>
    <n v="0"/>
    <n v="0.14462809917355371"/>
    <n v="0.60785714285714287"/>
    <n v="3850"/>
    <n v="0"/>
    <n v="3850"/>
    <n v="97.297297297297291"/>
    <n v="32.432432432432428"/>
    <s v=""/>
    <s v=""/>
    <n v="1"/>
    <n v="0.71063492063492073"/>
    <n v="0.85537190082644632"/>
    <n v="0.60785714285714298"/>
  </r>
  <r>
    <x v="83"/>
    <x v="1"/>
    <x v="1"/>
    <x v="3"/>
    <n v="4"/>
    <n v="8"/>
    <n v="1"/>
    <n v="7"/>
    <n v="3"/>
    <x v="6"/>
    <n v="630"/>
    <n v="454"/>
    <n v="64"/>
    <n v="1"/>
    <n v="0.12355212355212356"/>
    <n v="0.72063492063492063"/>
    <n v="2560"/>
    <n v="3900"/>
    <n v="6460"/>
    <n v="90"/>
    <n v="30"/>
    <n v="4"/>
    <n v="3"/>
    <n v="0.5714285714285714"/>
    <n v="0.82222222222222219"/>
    <n v="0.87644787644787647"/>
    <n v="0.41179138321995462"/>
  </r>
  <r>
    <x v="84"/>
    <x v="2"/>
    <x v="0"/>
    <x v="3"/>
    <n v="7"/>
    <n v="8"/>
    <n v="1"/>
    <n v="7"/>
    <n v="0"/>
    <x v="0"/>
    <n v="630"/>
    <n v="496"/>
    <n v="57"/>
    <n v="1"/>
    <n v="0.10307414104882459"/>
    <n v="0.78730158730158728"/>
    <n v="2280"/>
    <n v="0"/>
    <n v="2280"/>
    <n v="90"/>
    <n v="30"/>
    <n v="7"/>
    <n v="0"/>
    <n v="1"/>
    <n v="0.87777777777777777"/>
    <n v="0.89692585895117538"/>
    <n v="0.78730158730158728"/>
  </r>
  <r>
    <x v="85"/>
    <x v="1"/>
    <x v="4"/>
    <x v="6"/>
    <n v="7"/>
    <n v="8"/>
    <n v="1"/>
    <n v="7"/>
    <n v="0"/>
    <x v="4"/>
    <n v="663.1578947368422"/>
    <n v="490"/>
    <n v="52"/>
    <n v="0"/>
    <n v="9.5940959409594101E-2"/>
    <n v="0.73888888888888882"/>
    <n v="2184"/>
    <n v="0"/>
    <n v="2184"/>
    <n v="94.736842105263165"/>
    <n v="47.368421052631582"/>
    <s v=""/>
    <s v=""/>
    <n v="1"/>
    <n v="0.8173015873015872"/>
    <n v="0.90405904059040587"/>
    <n v="0.73888888888888882"/>
  </r>
  <r>
    <x v="86"/>
    <x v="1"/>
    <x v="2"/>
    <x v="6"/>
    <n v="7"/>
    <n v="8"/>
    <n v="1"/>
    <n v="7"/>
    <n v="0"/>
    <x v="4"/>
    <n v="663.1578947368422"/>
    <n v="479"/>
    <n v="83"/>
    <n v="0"/>
    <n v="0.14768683274021352"/>
    <n v="0.72230158730158722"/>
    <n v="3486"/>
    <n v="0"/>
    <n v="3486"/>
    <n v="94.736842105263165"/>
    <n v="47.368421052631582"/>
    <s v=""/>
    <s v=""/>
    <n v="1"/>
    <n v="0.84746031746031736"/>
    <n v="0.85231316725978645"/>
    <n v="0.72230158730158722"/>
  </r>
  <r>
    <x v="87"/>
    <x v="0"/>
    <x v="1"/>
    <x v="5"/>
    <n v="7"/>
    <n v="8"/>
    <n v="1"/>
    <n v="7"/>
    <n v="0"/>
    <x v="4"/>
    <n v="600"/>
    <n v="453"/>
    <n v="82"/>
    <n v="0"/>
    <n v="0.15327102803738318"/>
    <n v="0.755"/>
    <n v="2870"/>
    <n v="0"/>
    <n v="2870"/>
    <n v="85.714285714285708"/>
    <n v="17.142857142857142"/>
    <s v=""/>
    <s v=""/>
    <n v="1"/>
    <n v="0.89166666666666672"/>
    <n v="0.84672897196261687"/>
    <n v="0.75500000000000012"/>
  </r>
  <r>
    <x v="88"/>
    <x v="1"/>
    <x v="0"/>
    <x v="2"/>
    <n v="7"/>
    <n v="8"/>
    <n v="1"/>
    <n v="7"/>
    <n v="0"/>
    <x v="4"/>
    <n v="630"/>
    <n v="404"/>
    <n v="25"/>
    <n v="0"/>
    <n v="5.8275058275058272E-2"/>
    <n v="0.64126984126984132"/>
    <n v="1500"/>
    <n v="0"/>
    <n v="1500"/>
    <n v="90"/>
    <n v="22.5"/>
    <s v=""/>
    <s v=""/>
    <n v="1"/>
    <n v="0.68095238095238098"/>
    <n v="0.9417249417249417"/>
    <n v="0.64126984126984132"/>
  </r>
  <r>
    <x v="89"/>
    <x v="0"/>
    <x v="4"/>
    <x v="2"/>
    <n v="7"/>
    <n v="8"/>
    <n v="1"/>
    <n v="7"/>
    <n v="0"/>
    <x v="4"/>
    <n v="630"/>
    <n v="457"/>
    <n v="65"/>
    <n v="0"/>
    <n v="0.12452107279693486"/>
    <n v="0.72539682539682537"/>
    <n v="3900"/>
    <n v="0"/>
    <n v="3900"/>
    <n v="90"/>
    <n v="22.5"/>
    <s v=""/>
    <s v=""/>
    <n v="1"/>
    <n v="0.82857142857142863"/>
    <n v="0.87547892720306508"/>
    <n v="0.72539682539682537"/>
  </r>
  <r>
    <x v="90"/>
    <x v="1"/>
    <x v="0"/>
    <x v="1"/>
    <n v="4"/>
    <n v="8"/>
    <n v="1"/>
    <n v="7"/>
    <n v="3"/>
    <x v="3"/>
    <n v="681.08108108108104"/>
    <n v="500"/>
    <n v="41"/>
    <n v="2"/>
    <n v="7.5785582255083181E-2"/>
    <n v="0.73412698412698418"/>
    <n v="2255"/>
    <n v="2700"/>
    <n v="4955"/>
    <n v="97.297297297297291"/>
    <n v="32.432432432432428"/>
    <n v="2"/>
    <n v="1.5"/>
    <n v="0.5714285714285714"/>
    <n v="0.79432539682539682"/>
    <n v="0.92421441774491686"/>
    <n v="0.41950113378684806"/>
  </r>
  <r>
    <x v="91"/>
    <x v="1"/>
    <x v="3"/>
    <x v="4"/>
    <n v="6"/>
    <n v="8"/>
    <n v="1"/>
    <n v="7"/>
    <n v="1"/>
    <x v="8"/>
    <n v="600"/>
    <n v="432"/>
    <n v="145"/>
    <n v="2"/>
    <n v="0.25129982668977469"/>
    <n v="0.72"/>
    <n v="7395"/>
    <n v="1000"/>
    <n v="8395"/>
    <n v="85.714285714285708"/>
    <n v="28.571428571428569"/>
    <n v="3"/>
    <n v="0.5"/>
    <n v="0.8571428571428571"/>
    <n v="0.96166666666666667"/>
    <n v="0.74870017331022531"/>
    <n v="0.6171428571428571"/>
  </r>
  <r>
    <x v="92"/>
    <x v="1"/>
    <x v="2"/>
    <x v="1"/>
    <n v="5"/>
    <n v="8"/>
    <n v="1"/>
    <n v="7"/>
    <n v="2"/>
    <x v="5"/>
    <n v="681.08108108108104"/>
    <n v="403"/>
    <n v="75"/>
    <n v="2"/>
    <n v="0.15690376569037656"/>
    <n v="0.59170634920634924"/>
    <n v="4125"/>
    <n v="2400"/>
    <n v="6525"/>
    <n v="97.297297297297291"/>
    <n v="32.432432432432428"/>
    <n v="2.5"/>
    <n v="1"/>
    <n v="0.7142857142857143"/>
    <n v="0.70182539682539691"/>
    <n v="0.84309623430962344"/>
    <n v="0.42264739229024945"/>
  </r>
  <r>
    <x v="93"/>
    <x v="0"/>
    <x v="3"/>
    <x v="1"/>
    <n v="7"/>
    <n v="8"/>
    <n v="1"/>
    <n v="7"/>
    <n v="0"/>
    <x v="4"/>
    <n v="681.08108108108104"/>
    <n v="464"/>
    <n v="170"/>
    <n v="0"/>
    <n v="0.26813880126182965"/>
    <n v="0.68126984126984136"/>
    <n v="9350"/>
    <n v="0"/>
    <n v="9350"/>
    <n v="97.297297297297291"/>
    <n v="32.432432432432428"/>
    <s v=""/>
    <s v=""/>
    <n v="1"/>
    <n v="0.93087301587301596"/>
    <n v="0.73186119873817035"/>
    <n v="0.68126984126984136"/>
  </r>
  <r>
    <x v="94"/>
    <x v="2"/>
    <x v="4"/>
    <x v="2"/>
    <n v="6"/>
    <n v="8"/>
    <n v="1"/>
    <n v="7"/>
    <n v="1"/>
    <x v="1"/>
    <n v="630"/>
    <n v="416"/>
    <n v="85"/>
    <n v="1"/>
    <n v="0.16966067864271456"/>
    <n v="0.6603174603174603"/>
    <n v="5100"/>
    <n v="1500"/>
    <n v="6600"/>
    <n v="90"/>
    <n v="22.5"/>
    <n v="6"/>
    <n v="1"/>
    <n v="0.8571428571428571"/>
    <n v="0.79523809523809519"/>
    <n v="0.83033932135728539"/>
    <n v="0.56598639455782296"/>
  </r>
  <r>
    <x v="95"/>
    <x v="1"/>
    <x v="3"/>
    <x v="6"/>
    <n v="6"/>
    <n v="8"/>
    <n v="1"/>
    <n v="7"/>
    <n v="1"/>
    <x v="3"/>
    <n v="663.1578947368422"/>
    <n v="479"/>
    <n v="52"/>
    <n v="1"/>
    <n v="9.7928436911487754E-2"/>
    <n v="0.72230158730158722"/>
    <n v="2184"/>
    <n v="1000"/>
    <n v="3184"/>
    <n v="94.736842105263165"/>
    <n v="47.368421052631582"/>
    <n v="6"/>
    <n v="1"/>
    <n v="0.8571428571428571"/>
    <n v="0.8007142857142856"/>
    <n v="0.90207156308851222"/>
    <n v="0.61911564625850335"/>
  </r>
  <r>
    <x v="84"/>
    <x v="2"/>
    <x v="0"/>
    <x v="1"/>
    <n v="7"/>
    <n v="8"/>
    <n v="1"/>
    <n v="7"/>
    <n v="0"/>
    <x v="4"/>
    <n v="681.08108108108104"/>
    <n v="456"/>
    <n v="40"/>
    <n v="0"/>
    <n v="8.0645161290322578E-2"/>
    <n v="0.66952380952380952"/>
    <n v="2200"/>
    <n v="0"/>
    <n v="2200"/>
    <n v="97.297297297297291"/>
    <n v="32.432432432432428"/>
    <s v=""/>
    <s v=""/>
    <n v="1"/>
    <n v="0.72825396825396826"/>
    <n v="0.91935483870967738"/>
    <n v="0.669523809523809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50A2B6-83AA-4B01-94C4-CDDE0605E7E2}" name="OEE"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I3:AJ11" firstHeaderRow="1" firstDataRow="1" firstDataCol="1"/>
  <pivotFields count="29">
    <pivotField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items count="6">
        <item x="3"/>
        <item x="2"/>
        <item x="0"/>
        <item x="4"/>
        <item x="1"/>
        <item t="default"/>
      </items>
    </pivotField>
    <pivotField axis="axisRow" showAll="0">
      <items count="8">
        <item x="3"/>
        <item x="0"/>
        <item x="2"/>
        <item x="1"/>
        <item x="6"/>
        <item x="5"/>
        <item x="4"/>
        <item t="default"/>
      </items>
    </pivotField>
    <pivotField numFmtId="166" showAll="0"/>
    <pivotField numFmtId="166" showAll="0"/>
    <pivotField numFmtId="166" showAll="0"/>
    <pivotField numFmtId="166" showAll="0"/>
    <pivotField numFmtId="166" showAll="0"/>
    <pivotField showAll="0">
      <items count="10">
        <item x="2"/>
        <item x="6"/>
        <item x="0"/>
        <item x="1"/>
        <item x="8"/>
        <item x="7"/>
        <item x="3"/>
        <item x="5"/>
        <item x="4"/>
        <item t="default"/>
      </items>
    </pivotField>
    <pivotField numFmtId="165" showAll="0"/>
    <pivotField numFmtId="165" showAll="0"/>
    <pivotField numFmtId="165" showAll="0"/>
    <pivotField showAll="0"/>
    <pivotField numFmtId="9" showAll="0"/>
    <pivotField numFmtId="9" showAll="0"/>
    <pivotField numFmtId="165" showAll="0"/>
    <pivotField numFmtId="165" showAll="0"/>
    <pivotField numFmtId="165" showAll="0"/>
    <pivotField numFmtId="1" showAll="0"/>
    <pivotField numFmtId="1" showAll="0"/>
    <pivotField showAll="0"/>
    <pivotField showAll="0"/>
    <pivotField numFmtId="9" showAll="0"/>
    <pivotField numFmtId="9" showAll="0"/>
    <pivotField numFmtId="9" showAll="0"/>
    <pivotField dataField="1" numFmtId="9" showAll="0"/>
    <pivotField showAll="0" defaultSubtotal="0"/>
    <pivotField showAll="0" defaultSubtotal="0"/>
  </pivotFields>
  <rowFields count="1">
    <field x="3"/>
  </rowFields>
  <rowItems count="8">
    <i>
      <x/>
    </i>
    <i>
      <x v="1"/>
    </i>
    <i>
      <x v="2"/>
    </i>
    <i>
      <x v="3"/>
    </i>
    <i>
      <x v="4"/>
    </i>
    <i>
      <x v="5"/>
    </i>
    <i>
      <x v="6"/>
    </i>
    <i t="grand">
      <x/>
    </i>
  </rowItems>
  <colItems count="1">
    <i/>
  </colItems>
  <dataFields count="1">
    <dataField name="Average of OEE %" fld="26" subtotal="average" baseField="0" baseItem="0" numFmtId="9"/>
  </dataFields>
  <formats count="1">
    <format dxfId="39">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8CFF21-3A79-466E-BC2C-8D14484FD307}" name="Product achieve"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L3:AN11" firstHeaderRow="0" firstDataRow="1" firstDataCol="1"/>
  <pivotFields count="29">
    <pivotField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items count="6">
        <item x="3"/>
        <item x="2"/>
        <item x="0"/>
        <item x="4"/>
        <item x="1"/>
        <item t="default"/>
      </items>
    </pivotField>
    <pivotField axis="axisRow" showAll="0">
      <items count="8">
        <item x="3"/>
        <item x="0"/>
        <item x="2"/>
        <item x="1"/>
        <item x="6"/>
        <item x="5"/>
        <item x="4"/>
        <item t="default"/>
      </items>
    </pivotField>
    <pivotField numFmtId="166" showAll="0"/>
    <pivotField numFmtId="166" showAll="0"/>
    <pivotField numFmtId="166" showAll="0"/>
    <pivotField numFmtId="166" showAll="0"/>
    <pivotField numFmtId="166" showAll="0"/>
    <pivotField showAll="0">
      <items count="10">
        <item x="2"/>
        <item x="6"/>
        <item x="0"/>
        <item x="1"/>
        <item x="8"/>
        <item x="7"/>
        <item x="3"/>
        <item x="5"/>
        <item x="4"/>
        <item t="default"/>
      </items>
    </pivotField>
    <pivotField numFmtId="165" showAll="0"/>
    <pivotField numFmtId="165" showAll="0"/>
    <pivotField numFmtId="165" showAll="0"/>
    <pivotField showAll="0"/>
    <pivotField dataField="1" numFmtId="9" showAll="0"/>
    <pivotField dataField="1" numFmtId="9" showAll="0"/>
    <pivotField numFmtId="165" showAll="0"/>
    <pivotField numFmtId="165" showAll="0"/>
    <pivotField numFmtId="165" showAll="0"/>
    <pivotField numFmtId="1" showAll="0"/>
    <pivotField numFmtId="1" showAll="0"/>
    <pivotField showAll="0"/>
    <pivotField showAll="0"/>
    <pivotField numFmtId="9" showAll="0"/>
    <pivotField numFmtId="9" showAll="0"/>
    <pivotField numFmtId="9" showAll="0"/>
    <pivotField numFmtId="9" showAll="0"/>
    <pivotField showAll="0" defaultSubtotal="0"/>
    <pivotField showAll="0" defaultSubtotal="0"/>
  </pivotFields>
  <rowFields count="1">
    <field x="3"/>
  </rowFields>
  <rowItems count="8">
    <i>
      <x/>
    </i>
    <i>
      <x v="1"/>
    </i>
    <i>
      <x v="2"/>
    </i>
    <i>
      <x v="3"/>
    </i>
    <i>
      <x v="4"/>
    </i>
    <i>
      <x v="5"/>
    </i>
    <i>
      <x v="6"/>
    </i>
    <i t="grand">
      <x/>
    </i>
  </rowItems>
  <colFields count="1">
    <field x="-2"/>
  </colFields>
  <colItems count="2">
    <i>
      <x/>
    </i>
    <i i="1">
      <x v="1"/>
    </i>
  </colItems>
  <dataFields count="2">
    <dataField name="Average of Plan Achieve %" fld="15" subtotal="average" baseField="0" baseItem="0" numFmtId="9"/>
    <dataField name="Average of Defect %" fld="14" subtotal="average" baseField="0" baseItem="0"/>
  </dataFields>
  <formats count="1">
    <format dxfId="40">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90D58F-518D-438C-8C39-653D10A31891}" name="MTBF"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B3:AD9" firstHeaderRow="0" firstDataRow="1" firstDataCol="1"/>
  <pivotFields count="29">
    <pivotField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axis="axisRow" showAll="0">
      <items count="6">
        <item x="3"/>
        <item x="2"/>
        <item x="0"/>
        <item x="4"/>
        <item x="1"/>
        <item t="default"/>
      </items>
    </pivotField>
    <pivotField showAll="0">
      <items count="8">
        <item x="3"/>
        <item x="0"/>
        <item x="2"/>
        <item x="1"/>
        <item x="6"/>
        <item x="5"/>
        <item x="4"/>
        <item t="default"/>
      </items>
    </pivotField>
    <pivotField numFmtId="166" showAll="0"/>
    <pivotField numFmtId="166" showAll="0"/>
    <pivotField numFmtId="166" showAll="0"/>
    <pivotField numFmtId="166" showAll="0"/>
    <pivotField numFmtId="166" showAll="0"/>
    <pivotField showAll="0"/>
    <pivotField numFmtId="165" showAll="0"/>
    <pivotField numFmtId="165" showAll="0"/>
    <pivotField numFmtId="165" showAll="0"/>
    <pivotField showAll="0"/>
    <pivotField numFmtId="9" showAll="0"/>
    <pivotField numFmtId="9" showAll="0"/>
    <pivotField numFmtId="165" showAll="0"/>
    <pivotField numFmtId="165" showAll="0"/>
    <pivotField numFmtId="165" showAll="0"/>
    <pivotField numFmtId="1" showAll="0"/>
    <pivotField numFmtId="1" showAll="0"/>
    <pivotField dataField="1" showAll="0"/>
    <pivotField dataField="1" showAll="0"/>
    <pivotField numFmtId="9" showAll="0"/>
    <pivotField numFmtId="9" showAll="0"/>
    <pivotField numFmtId="9" showAll="0"/>
    <pivotField numFmtId="9" showAll="0"/>
    <pivotField showAll="0" defaultSubtotal="0"/>
    <pivotField showAll="0" defaultSubtotal="0"/>
  </pivotFields>
  <rowFields count="1">
    <field x="2"/>
  </rowFields>
  <rowItems count="6">
    <i>
      <x/>
    </i>
    <i>
      <x v="1"/>
    </i>
    <i>
      <x v="2"/>
    </i>
    <i>
      <x v="3"/>
    </i>
    <i>
      <x v="4"/>
    </i>
    <i t="grand">
      <x/>
    </i>
  </rowItems>
  <colFields count="1">
    <field x="-2"/>
  </colFields>
  <colItems count="2">
    <i>
      <x/>
    </i>
    <i i="1">
      <x v="1"/>
    </i>
  </colItems>
  <dataFields count="2">
    <dataField name="Average of MTBF (Hrs)" fld="21" subtotal="average" baseField="0" baseItem="0" numFmtId="166"/>
    <dataField name="Average of MTTR (Hrs)" fld="22" subtotal="average" baseField="0" baseItem="0"/>
  </dataFields>
  <formats count="1">
    <format dxfId="41">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B36962-5A8E-411A-9040-A305FE351781}" name="Time"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S3:V9" firstHeaderRow="0" firstDataRow="1" firstDataCol="1"/>
  <pivotFields count="29">
    <pivotField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axis="axisRow" showAll="0">
      <items count="6">
        <item x="3"/>
        <item x="2"/>
        <item x="0"/>
        <item x="4"/>
        <item x="1"/>
        <item t="default"/>
      </items>
    </pivotField>
    <pivotField showAll="0">
      <items count="8">
        <item x="3"/>
        <item x="0"/>
        <item x="2"/>
        <item x="1"/>
        <item x="6"/>
        <item x="5"/>
        <item x="4"/>
        <item t="default"/>
      </items>
    </pivotField>
    <pivotField dataField="1" numFmtId="166" showAll="0"/>
    <pivotField numFmtId="166" showAll="0"/>
    <pivotField numFmtId="166" showAll="0"/>
    <pivotField numFmtId="166" showAll="0"/>
    <pivotField dataField="1" numFmtId="166" showAll="0"/>
    <pivotField showAll="0">
      <items count="10">
        <item x="2"/>
        <item x="6"/>
        <item x="0"/>
        <item x="1"/>
        <item x="8"/>
        <item x="7"/>
        <item x="3"/>
        <item x="5"/>
        <item x="4"/>
        <item t="default"/>
      </items>
    </pivotField>
    <pivotField numFmtId="165" showAll="0"/>
    <pivotField numFmtId="165" showAll="0"/>
    <pivotField numFmtId="165" showAll="0"/>
    <pivotField showAll="0"/>
    <pivotField numFmtId="9" showAll="0"/>
    <pivotField numFmtId="9" showAll="0"/>
    <pivotField numFmtId="165" showAll="0"/>
    <pivotField numFmtId="165" showAll="0"/>
    <pivotField numFmtId="165" showAll="0"/>
    <pivotField dataField="1" numFmtId="1" showAll="0"/>
    <pivotField numFmtId="1" showAll="0"/>
    <pivotField showAll="0"/>
    <pivotField showAll="0"/>
    <pivotField numFmtId="9" showAll="0"/>
    <pivotField numFmtId="9" showAll="0"/>
    <pivotField numFmtId="9" showAll="0"/>
    <pivotField numFmtId="9" showAll="0"/>
    <pivotField showAll="0">
      <items count="7">
        <item x="0"/>
        <item x="1"/>
        <item x="2"/>
        <item x="3"/>
        <item x="4"/>
        <item x="5"/>
        <item t="default"/>
      </items>
    </pivotField>
    <pivotField showAll="0">
      <items count="9">
        <item x="0"/>
        <item x="1"/>
        <item x="2"/>
        <item x="3"/>
        <item x="4"/>
        <item x="5"/>
        <item x="6"/>
        <item x="7"/>
        <item t="default"/>
      </items>
    </pivotField>
  </pivotFields>
  <rowFields count="1">
    <field x="2"/>
  </rowFields>
  <rowItems count="6">
    <i>
      <x/>
    </i>
    <i>
      <x v="1"/>
    </i>
    <i>
      <x v="2"/>
    </i>
    <i>
      <x v="3"/>
    </i>
    <i>
      <x v="4"/>
    </i>
    <i t="grand">
      <x/>
    </i>
  </rowItems>
  <colFields count="1">
    <field x="-2"/>
  </colFields>
  <colItems count="3">
    <i>
      <x/>
    </i>
    <i i="1">
      <x v="1"/>
    </i>
    <i i="2">
      <x v="2"/>
    </i>
  </colItems>
  <dataFields count="3">
    <dataField name="Sum of Actual Run Time (Hrs)" fld="4" baseField="0" baseItem="0"/>
    <dataField name="Sum of Lose Time (Hrs)" fld="8" baseField="0" baseItem="0"/>
    <dataField name="Average of UPH" fld="19" subtotal="average" baseField="0" baseItem="0" numFmtId="1"/>
  </dataFields>
  <formats count="1">
    <format dxfId="42">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227AB4-4459-4A3A-A70A-88602A915281}" name="statistics"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3:M11" firstHeaderRow="0" firstDataRow="1" firstDataCol="1"/>
  <pivotFields count="29">
    <pivotField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items count="6">
        <item x="3"/>
        <item x="2"/>
        <item x="0"/>
        <item x="4"/>
        <item x="1"/>
        <item t="default"/>
      </items>
    </pivotField>
    <pivotField axis="axisRow" showAll="0">
      <items count="8">
        <item x="3"/>
        <item x="0"/>
        <item x="2"/>
        <item x="1"/>
        <item x="6"/>
        <item x="5"/>
        <item x="4"/>
        <item t="default"/>
      </items>
    </pivotField>
    <pivotField numFmtId="166" showAll="0"/>
    <pivotField numFmtId="166" showAll="0"/>
    <pivotField numFmtId="166" showAll="0"/>
    <pivotField numFmtId="166" showAll="0"/>
    <pivotField numFmtId="166" showAll="0"/>
    <pivotField showAll="0"/>
    <pivotField numFmtId="165" showAll="0"/>
    <pivotField dataField="1" numFmtId="165" showAll="0"/>
    <pivotField dataField="1" numFmtId="165" showAll="0"/>
    <pivotField showAll="0"/>
    <pivotField dataField="1" numFmtId="9" showAll="0"/>
    <pivotField dataField="1" numFmtId="9" showAll="0"/>
    <pivotField dataField="1" numFmtId="165" showAll="0"/>
    <pivotField dataField="1" numFmtId="165" showAll="0"/>
    <pivotField dataField="1" numFmtId="165" showAll="0"/>
    <pivotField dataField="1" numFmtId="1" showAll="0"/>
    <pivotField numFmtId="1" showAll="0"/>
    <pivotField showAll="0"/>
    <pivotField showAll="0"/>
    <pivotField dataField="1" numFmtId="9" showAll="0"/>
    <pivotField dataField="1" numFmtId="9" showAll="0"/>
    <pivotField dataField="1" numFmtId="9" showAll="0"/>
    <pivotField dataField="1" numFmtId="9" showAll="0"/>
    <pivotField showAll="0">
      <items count="7">
        <item x="0"/>
        <item x="1"/>
        <item x="2"/>
        <item x="3"/>
        <item x="4"/>
        <item x="5"/>
        <item t="default"/>
      </items>
    </pivotField>
    <pivotField showAll="0">
      <items count="9">
        <item x="0"/>
        <item x="1"/>
        <item x="2"/>
        <item x="3"/>
        <item x="4"/>
        <item x="5"/>
        <item x="6"/>
        <item x="7"/>
        <item t="default"/>
      </items>
    </pivotField>
  </pivotFields>
  <rowFields count="1">
    <field x="3"/>
  </rowFields>
  <rowItems count="8">
    <i>
      <x/>
    </i>
    <i>
      <x v="1"/>
    </i>
    <i>
      <x v="2"/>
    </i>
    <i>
      <x v="3"/>
    </i>
    <i>
      <x v="4"/>
    </i>
    <i>
      <x v="5"/>
    </i>
    <i>
      <x v="6"/>
    </i>
    <i t="grand">
      <x/>
    </i>
  </rowItems>
  <colFields count="1">
    <field x="-2"/>
  </colFields>
  <colItems count="12">
    <i>
      <x/>
    </i>
    <i i="1">
      <x v="1"/>
    </i>
    <i i="2">
      <x v="2"/>
    </i>
    <i i="3">
      <x v="3"/>
    </i>
    <i i="4">
      <x v="4"/>
    </i>
    <i i="5">
      <x v="5"/>
    </i>
    <i i="6">
      <x v="6"/>
    </i>
    <i i="7">
      <x v="7"/>
    </i>
    <i i="8">
      <x v="8"/>
    </i>
    <i i="9">
      <x v="9"/>
    </i>
    <i i="10">
      <x v="10"/>
    </i>
    <i i="11">
      <x v="11"/>
    </i>
  </colItems>
  <dataFields count="12">
    <dataField name="Sum of Ok Quantity" fld="11" baseField="0" baseItem="0"/>
    <dataField name="Sum of Defect Quantity" fld="12" baseField="0" baseItem="0"/>
    <dataField name="Average of Defect %" fld="14" subtotal="average" baseField="0" baseItem="0" numFmtId="9"/>
    <dataField name="Average of Plan Achieve %" fld="15" subtotal="average" baseField="0" baseItem="0" numFmtId="9"/>
    <dataField name="Sum of Defect Cost" fld="16" baseField="0" baseItem="0"/>
    <dataField name="Sum of Lose Time Cost" fld="17" baseField="0" baseItem="0"/>
    <dataField name="Sum of Total Lose Cost" fld="18" baseField="0" baseItem="0"/>
    <dataField name="Average of Availability %" fld="23" subtotal="average" baseField="0" baseItem="0" numFmtId="9"/>
    <dataField name="Average of Performance %" fld="24" subtotal="average" baseField="0" baseItem="0" numFmtId="9"/>
    <dataField name="Average of Quality %" fld="25" subtotal="average" baseField="0" baseItem="0" numFmtId="9"/>
    <dataField name="Average of OEE %" fld="26" subtotal="average" baseField="0" baseItem="0" numFmtId="9"/>
    <dataField name="Average of UPH" fld="19" subtotal="average" baseField="0" baseItem="0" numFmtId="1"/>
  </dataFields>
  <formats count="12">
    <format dxfId="54">
      <pivotArea outline="0" collapsedLevelsAreSubtotals="1" fieldPosition="0">
        <references count="1">
          <reference field="4294967294" count="1" selected="0">
            <x v="3"/>
          </reference>
        </references>
      </pivotArea>
    </format>
    <format dxfId="53">
      <pivotArea dataOnly="0" labelOnly="1" outline="0" fieldPosition="0">
        <references count="1">
          <reference field="4294967294" count="1">
            <x v="3"/>
          </reference>
        </references>
      </pivotArea>
    </format>
    <format dxfId="52">
      <pivotArea outline="0" collapsedLevelsAreSubtotals="1" fieldPosition="0">
        <references count="1">
          <reference field="4294967294" count="1" selected="0">
            <x v="7"/>
          </reference>
        </references>
      </pivotArea>
    </format>
    <format dxfId="51">
      <pivotArea dataOnly="0" labelOnly="1" outline="0" fieldPosition="0">
        <references count="1">
          <reference field="4294967294" count="1">
            <x v="7"/>
          </reference>
        </references>
      </pivotArea>
    </format>
    <format dxfId="50">
      <pivotArea outline="0" collapsedLevelsAreSubtotals="1" fieldPosition="0">
        <references count="1">
          <reference field="4294967294" count="1" selected="0">
            <x v="8"/>
          </reference>
        </references>
      </pivotArea>
    </format>
    <format dxfId="49">
      <pivotArea dataOnly="0" labelOnly="1" outline="0" fieldPosition="0">
        <references count="1">
          <reference field="4294967294" count="1">
            <x v="8"/>
          </reference>
        </references>
      </pivotArea>
    </format>
    <format dxfId="48">
      <pivotArea outline="0" collapsedLevelsAreSubtotals="1" fieldPosition="0">
        <references count="1">
          <reference field="4294967294" count="1" selected="0">
            <x v="9"/>
          </reference>
        </references>
      </pivotArea>
    </format>
    <format dxfId="47">
      <pivotArea dataOnly="0" labelOnly="1" outline="0" fieldPosition="0">
        <references count="1">
          <reference field="4294967294" count="1">
            <x v="9"/>
          </reference>
        </references>
      </pivotArea>
    </format>
    <format dxfId="46">
      <pivotArea outline="0" collapsedLevelsAreSubtotals="1" fieldPosition="0">
        <references count="1">
          <reference field="4294967294" count="1" selected="0">
            <x v="10"/>
          </reference>
        </references>
      </pivotArea>
    </format>
    <format dxfId="45">
      <pivotArea dataOnly="0" labelOnly="1" outline="0" fieldPosition="0">
        <references count="1">
          <reference field="4294967294" count="1">
            <x v="10"/>
          </reference>
        </references>
      </pivotArea>
    </format>
    <format dxfId="44">
      <pivotArea outline="0" collapsedLevelsAreSubtotals="1" fieldPosition="0">
        <references count="1">
          <reference field="4294967294" count="1" selected="0">
            <x v="2"/>
          </reference>
        </references>
      </pivotArea>
    </format>
    <format dxfId="43">
      <pivotArea outline="0" collapsedLevelsAreSubtotals="1" fieldPosition="0">
        <references count="1">
          <reference field="4294967294" count="1" selected="0">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318745-03F0-4827-911D-8E654EAA0D8D}" name="root cause"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AP3:AQ12" firstHeaderRow="1" firstDataRow="1" firstDataCol="1"/>
  <pivotFields count="29">
    <pivotField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items count="6">
        <item x="3"/>
        <item x="2"/>
        <item x="0"/>
        <item x="4"/>
        <item x="1"/>
        <item t="default"/>
      </items>
    </pivotField>
    <pivotField showAll="0">
      <items count="8">
        <item x="3"/>
        <item x="0"/>
        <item x="2"/>
        <item x="1"/>
        <item x="6"/>
        <item x="5"/>
        <item x="4"/>
        <item t="default"/>
      </items>
    </pivotField>
    <pivotField numFmtId="166" showAll="0"/>
    <pivotField numFmtId="166" showAll="0"/>
    <pivotField numFmtId="166" showAll="0"/>
    <pivotField numFmtId="166" showAll="0"/>
    <pivotField dataField="1" numFmtId="166" showAll="0"/>
    <pivotField axis="axisRow" showAll="0">
      <items count="10">
        <item x="2"/>
        <item x="6"/>
        <item x="0"/>
        <item x="1"/>
        <item x="8"/>
        <item x="7"/>
        <item x="3"/>
        <item x="5"/>
        <item h="1" x="4"/>
        <item t="default"/>
      </items>
    </pivotField>
    <pivotField numFmtId="165" showAll="0"/>
    <pivotField numFmtId="165" showAll="0"/>
    <pivotField numFmtId="165" showAll="0"/>
    <pivotField showAll="0"/>
    <pivotField numFmtId="9" showAll="0"/>
    <pivotField numFmtId="9" showAll="0"/>
    <pivotField numFmtId="165" showAll="0"/>
    <pivotField numFmtId="165" showAll="0"/>
    <pivotField numFmtId="165" showAll="0"/>
    <pivotField numFmtId="1" showAll="0"/>
    <pivotField numFmtId="1" showAll="0"/>
    <pivotField showAll="0"/>
    <pivotField showAll="0"/>
    <pivotField numFmtId="9" showAll="0"/>
    <pivotField numFmtId="9" showAll="0"/>
    <pivotField numFmtId="9" showAll="0"/>
    <pivotField numFmtId="9" showAll="0"/>
    <pivotField showAll="0" defaultSubtotal="0"/>
    <pivotField showAll="0" defaultSubtotal="0"/>
  </pivotFields>
  <rowFields count="1">
    <field x="9"/>
  </rowFields>
  <rowItems count="9">
    <i>
      <x/>
    </i>
    <i>
      <x v="1"/>
    </i>
    <i>
      <x v="2"/>
    </i>
    <i>
      <x v="3"/>
    </i>
    <i>
      <x v="4"/>
    </i>
    <i>
      <x v="5"/>
    </i>
    <i>
      <x v="6"/>
    </i>
    <i>
      <x v="7"/>
    </i>
    <i t="grand">
      <x/>
    </i>
  </rowItems>
  <colItems count="1">
    <i/>
  </colItems>
  <dataFields count="1">
    <dataField name="Sum of Lose Time (Hrs)" fld="8" baseField="0" baseItem="0"/>
  </dataFields>
  <formats count="1">
    <format dxfId="55">
      <pivotArea outline="0" collapsedLevelsAreSubtotals="1" fieldPosition="0"/>
    </format>
  </formats>
  <chartFormats count="10">
    <chartFormat chart="5" format="11" series="1">
      <pivotArea type="data" outline="0" fieldPosition="0">
        <references count="1">
          <reference field="4294967294" count="1" selected="0">
            <x v="0"/>
          </reference>
        </references>
      </pivotArea>
    </chartFormat>
    <chartFormat chart="5" format="12">
      <pivotArea type="data" outline="0" fieldPosition="0">
        <references count="2">
          <reference field="4294967294" count="1" selected="0">
            <x v="0"/>
          </reference>
          <reference field="9" count="1" selected="0">
            <x v="0"/>
          </reference>
        </references>
      </pivotArea>
    </chartFormat>
    <chartFormat chart="5" format="13">
      <pivotArea type="data" outline="0" fieldPosition="0">
        <references count="2">
          <reference field="4294967294" count="1" selected="0">
            <x v="0"/>
          </reference>
          <reference field="9" count="1" selected="0">
            <x v="1"/>
          </reference>
        </references>
      </pivotArea>
    </chartFormat>
    <chartFormat chart="5" format="14">
      <pivotArea type="data" outline="0" fieldPosition="0">
        <references count="2">
          <reference field="4294967294" count="1" selected="0">
            <x v="0"/>
          </reference>
          <reference field="9" count="1" selected="0">
            <x v="2"/>
          </reference>
        </references>
      </pivotArea>
    </chartFormat>
    <chartFormat chart="5" format="15">
      <pivotArea type="data" outline="0" fieldPosition="0">
        <references count="2">
          <reference field="4294967294" count="1" selected="0">
            <x v="0"/>
          </reference>
          <reference field="9" count="1" selected="0">
            <x v="3"/>
          </reference>
        </references>
      </pivotArea>
    </chartFormat>
    <chartFormat chart="5" format="16">
      <pivotArea type="data" outline="0" fieldPosition="0">
        <references count="2">
          <reference field="4294967294" count="1" selected="0">
            <x v="0"/>
          </reference>
          <reference field="9" count="1" selected="0">
            <x v="4"/>
          </reference>
        </references>
      </pivotArea>
    </chartFormat>
    <chartFormat chart="5" format="17">
      <pivotArea type="data" outline="0" fieldPosition="0">
        <references count="2">
          <reference field="4294967294" count="1" selected="0">
            <x v="0"/>
          </reference>
          <reference field="9" count="1" selected="0">
            <x v="5"/>
          </reference>
        </references>
      </pivotArea>
    </chartFormat>
    <chartFormat chart="5" format="18">
      <pivotArea type="data" outline="0" fieldPosition="0">
        <references count="2">
          <reference field="4294967294" count="1" selected="0">
            <x v="0"/>
          </reference>
          <reference field="9" count="1" selected="0">
            <x v="6"/>
          </reference>
        </references>
      </pivotArea>
    </chartFormat>
    <chartFormat chart="5" format="19">
      <pivotArea type="data" outline="0" fieldPosition="0">
        <references count="2">
          <reference field="4294967294" count="1" selected="0">
            <x v="0"/>
          </reference>
          <reference field="9" count="1" selected="0">
            <x v="7"/>
          </reference>
        </references>
      </pivotArea>
    </chartFormat>
    <chartFormat chart="5" format="20">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AFF9C37-051B-4729-A14A-EE9059E75213}" name="Active lines"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O3:Q20" firstHeaderRow="1" firstDataRow="1" firstDataCol="0"/>
  <pivotFields count="29">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9">
        <item x="0"/>
        <item x="1"/>
        <item x="2"/>
        <item x="3"/>
        <item x="4"/>
        <item x="5"/>
        <item x="6"/>
        <item x="7"/>
        <item t="default"/>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AC037B9-5B3F-458A-894F-F8F57766640C}" name="loses"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AS3:AV29" firstHeaderRow="0" firstDataRow="1" firstDataCol="1"/>
  <pivotFields count="29">
    <pivotField axis="axisRow"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items count="6">
        <item x="3"/>
        <item x="2"/>
        <item x="0"/>
        <item x="4"/>
        <item x="1"/>
        <item t="default"/>
      </items>
    </pivotField>
    <pivotField showAll="0">
      <items count="8">
        <item x="3"/>
        <item x="0"/>
        <item x="2"/>
        <item x="1"/>
        <item x="6"/>
        <item x="5"/>
        <item x="4"/>
        <item t="default"/>
      </items>
    </pivotField>
    <pivotField dataField="1" numFmtId="166" showAll="0"/>
    <pivotField numFmtId="166" showAll="0"/>
    <pivotField numFmtId="166" showAll="0"/>
    <pivotField dataField="1" numFmtId="166" showAll="0"/>
    <pivotField dataField="1" numFmtId="166" showAll="0"/>
    <pivotField showAll="0">
      <items count="10">
        <item x="2"/>
        <item x="6"/>
        <item x="0"/>
        <item x="1"/>
        <item x="8"/>
        <item x="7"/>
        <item x="3"/>
        <item x="5"/>
        <item x="4"/>
        <item t="default"/>
      </items>
    </pivotField>
    <pivotField numFmtId="165" showAll="0"/>
    <pivotField numFmtId="165" showAll="0"/>
    <pivotField numFmtId="165" showAll="0"/>
    <pivotField showAll="0"/>
    <pivotField numFmtId="9" showAll="0"/>
    <pivotField numFmtId="9" showAll="0"/>
    <pivotField numFmtId="165" showAll="0"/>
    <pivotField numFmtId="165" showAll="0"/>
    <pivotField numFmtId="165" showAll="0"/>
    <pivotField numFmtId="1" showAll="0"/>
    <pivotField numFmtId="1" showAll="0"/>
    <pivotField showAll="0"/>
    <pivotField showAll="0"/>
    <pivotField numFmtId="9" showAll="0"/>
    <pivotField numFmtId="9" showAll="0"/>
    <pivotField numFmtId="9" showAll="0"/>
    <pivotField numFmtId="9" showAll="0"/>
    <pivotField axis="axisRow" showAll="0" defaultSubtotal="0">
      <items count="6">
        <item sd="0" x="0"/>
        <item sd="0" x="1"/>
        <item sd="0" x="2"/>
        <item sd="0" x="3"/>
        <item sd="0" x="4"/>
        <item sd="0" x="5"/>
      </items>
    </pivotField>
    <pivotField axis="axisRow" showAll="0" defaultSubtotal="0">
      <items count="8">
        <item x="0"/>
        <item x="1"/>
        <item x="2"/>
        <item x="3"/>
        <item x="4"/>
        <item x="5"/>
        <item x="6"/>
        <item x="7"/>
      </items>
    </pivotField>
  </pivotFields>
  <rowFields count="3">
    <field x="28"/>
    <field x="27"/>
    <field x="0"/>
  </rowFields>
  <rowItems count="26">
    <i>
      <x v="1"/>
    </i>
    <i r="1">
      <x v="1"/>
    </i>
    <i r="1">
      <x v="2"/>
    </i>
    <i r="1">
      <x v="3"/>
    </i>
    <i r="1">
      <x v="4"/>
    </i>
    <i>
      <x v="2"/>
    </i>
    <i r="1">
      <x v="1"/>
    </i>
    <i r="1">
      <x v="2"/>
    </i>
    <i r="1">
      <x v="3"/>
    </i>
    <i r="1">
      <x v="4"/>
    </i>
    <i>
      <x v="3"/>
    </i>
    <i r="1">
      <x v="1"/>
    </i>
    <i r="1">
      <x v="2"/>
    </i>
    <i r="1">
      <x v="4"/>
    </i>
    <i>
      <x v="4"/>
    </i>
    <i r="1">
      <x v="1"/>
    </i>
    <i r="1">
      <x v="3"/>
    </i>
    <i r="1">
      <x v="4"/>
    </i>
    <i>
      <x v="5"/>
    </i>
    <i r="1">
      <x v="1"/>
    </i>
    <i r="1">
      <x v="2"/>
    </i>
    <i r="1">
      <x v="3"/>
    </i>
    <i r="1">
      <x v="4"/>
    </i>
    <i>
      <x v="6"/>
    </i>
    <i r="1">
      <x v="4"/>
    </i>
    <i t="grand">
      <x/>
    </i>
  </rowItems>
  <colFields count="1">
    <field x="-2"/>
  </colFields>
  <colItems count="3">
    <i>
      <x/>
    </i>
    <i i="1">
      <x v="1"/>
    </i>
    <i i="2">
      <x v="2"/>
    </i>
  </colItems>
  <dataFields count="3">
    <dataField name="Sum of Available Run Time (Hrs)" fld="7" baseField="0" baseItem="0"/>
    <dataField name="Sum of Actual Run Time (Hrs)" fld="4" baseField="0" baseItem="0"/>
    <dataField name="Sum of Lose Time (Hrs)" fld="8" baseField="0" baseItem="0"/>
  </dataFields>
  <chartFormats count="5">
    <chartFormat chart="4" format="5"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 chart="5" format="9"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 chart="5"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4B4B5CC-8AC6-49C4-AEF7-82B70635D751}" name="Achieve trend" cacheId="0"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3">
  <location ref="X3:Z28" firstHeaderRow="0" firstDataRow="1" firstDataCol="1"/>
  <pivotFields count="29">
    <pivotField axis="axisRow"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items count="6">
        <item x="3"/>
        <item x="2"/>
        <item x="0"/>
        <item x="4"/>
        <item x="1"/>
        <item t="default"/>
      </items>
    </pivotField>
    <pivotField showAll="0">
      <items count="8">
        <item x="3"/>
        <item x="0"/>
        <item x="2"/>
        <item x="1"/>
        <item x="6"/>
        <item x="5"/>
        <item x="4"/>
        <item t="default"/>
      </items>
    </pivotField>
    <pivotField numFmtId="166" showAll="0"/>
    <pivotField numFmtId="166" showAll="0"/>
    <pivotField numFmtId="166" showAll="0"/>
    <pivotField numFmtId="166" showAll="0"/>
    <pivotField numFmtId="166" showAll="0"/>
    <pivotField showAll="0"/>
    <pivotField numFmtId="165" showAll="0"/>
    <pivotField dataField="1" numFmtId="165" showAll="0"/>
    <pivotField numFmtId="165" showAll="0"/>
    <pivotField showAll="0"/>
    <pivotField numFmtId="9" showAll="0"/>
    <pivotField dataField="1" numFmtId="9" showAll="0"/>
    <pivotField numFmtId="165" showAll="0"/>
    <pivotField numFmtId="165" showAll="0"/>
    <pivotField numFmtId="165" showAll="0"/>
    <pivotField numFmtId="1" showAll="0"/>
    <pivotField numFmtId="1" showAll="0"/>
    <pivotField showAll="0"/>
    <pivotField showAll="0"/>
    <pivotField numFmtId="9" showAll="0"/>
    <pivotField numFmtId="9" showAll="0"/>
    <pivotField numFmtId="9" showAll="0"/>
    <pivotField numFmtId="9" showAll="0"/>
    <pivotField axis="axisRow" showAll="0">
      <items count="7">
        <item sd="0" x="0"/>
        <item sd="0" x="1"/>
        <item sd="0" x="2"/>
        <item sd="0" x="3"/>
        <item sd="0" x="4"/>
        <item sd="0" x="5"/>
        <item t="default" sd="0"/>
      </items>
    </pivotField>
    <pivotField axis="axisRow" showAll="0">
      <items count="9">
        <item x="0"/>
        <item x="1"/>
        <item x="2"/>
        <item x="3"/>
        <item x="4"/>
        <item x="5"/>
        <item x="6"/>
        <item x="7"/>
        <item t="default"/>
      </items>
    </pivotField>
  </pivotFields>
  <rowFields count="3">
    <field x="28"/>
    <field x="27"/>
    <field x="0"/>
  </rowFields>
  <rowItems count="25">
    <i>
      <x v="1"/>
    </i>
    <i r="1">
      <x v="1"/>
    </i>
    <i r="1">
      <x v="2"/>
    </i>
    <i r="1">
      <x v="3"/>
    </i>
    <i r="1">
      <x v="4"/>
    </i>
    <i>
      <x v="2"/>
    </i>
    <i r="1">
      <x v="1"/>
    </i>
    <i r="1">
      <x v="2"/>
    </i>
    <i r="1">
      <x v="3"/>
    </i>
    <i r="1">
      <x v="4"/>
    </i>
    <i>
      <x v="3"/>
    </i>
    <i r="1">
      <x v="1"/>
    </i>
    <i r="1">
      <x v="2"/>
    </i>
    <i r="1">
      <x v="4"/>
    </i>
    <i>
      <x v="4"/>
    </i>
    <i r="1">
      <x v="1"/>
    </i>
    <i r="1">
      <x v="3"/>
    </i>
    <i r="1">
      <x v="4"/>
    </i>
    <i>
      <x v="5"/>
    </i>
    <i r="1">
      <x v="1"/>
    </i>
    <i r="1">
      <x v="2"/>
    </i>
    <i r="1">
      <x v="3"/>
    </i>
    <i r="1">
      <x v="4"/>
    </i>
    <i>
      <x v="6"/>
    </i>
    <i r="1">
      <x v="4"/>
    </i>
  </rowItems>
  <colFields count="1">
    <field x="-2"/>
  </colFields>
  <colItems count="2">
    <i>
      <x/>
    </i>
    <i i="1">
      <x v="1"/>
    </i>
  </colItems>
  <dataFields count="2">
    <dataField name="Average of Plan Achieve %" fld="15" subtotal="average" baseField="0" baseItem="0" numFmtId="9"/>
    <dataField name="Sum of Ok Quantity" fld="11" baseField="0" baseItem="0" numFmtId="165"/>
  </dataFields>
  <formats count="2">
    <format dxfId="0">
      <pivotArea outline="0" collapsedLevelsAreSubtotals="1" fieldPosition="0"/>
    </format>
    <format dxfId="1">
      <pivotArea outline="0" collapsedLevelsAreSubtotals="1" fieldPosition="0">
        <references count="1">
          <reference field="4294967294" count="1" selected="0">
            <x v="1"/>
          </reference>
        </references>
      </pivotArea>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EDDE7E-8BAB-4634-B0E4-32F6738BCE9B}" name="MTT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F3:AH20" firstHeaderRow="1" firstDataRow="1" firstDataCol="0"/>
  <pivotFields count="29">
    <pivotField numFmtId="14" showAll="0">
      <items count="15">
        <item x="0"/>
        <item x="1"/>
        <item x="2"/>
        <item x="3"/>
        <item x="4"/>
        <item x="5"/>
        <item x="6"/>
        <item x="7"/>
        <item x="8"/>
        <item x="9"/>
        <item x="10"/>
        <item x="11"/>
        <item x="12"/>
        <item x="13"/>
        <item t="default"/>
      </items>
    </pivotField>
    <pivotField showAll="0"/>
    <pivotField showAll="0">
      <items count="6">
        <item x="3"/>
        <item x="2"/>
        <item x="0"/>
        <item x="4"/>
        <item x="1"/>
        <item t="default"/>
      </items>
    </pivotField>
    <pivotField showAll="0"/>
    <pivotField numFmtId="166" showAll="0"/>
    <pivotField numFmtId="166" showAll="0"/>
    <pivotField numFmtId="166" showAll="0"/>
    <pivotField numFmtId="166" showAll="0"/>
    <pivotField numFmtId="166" showAll="0"/>
    <pivotField showAll="0"/>
    <pivotField numFmtId="165" showAll="0"/>
    <pivotField numFmtId="165" showAll="0"/>
    <pivotField numFmtId="165" showAll="0"/>
    <pivotField showAll="0"/>
    <pivotField numFmtId="9" showAll="0"/>
    <pivotField numFmtId="9" showAll="0"/>
    <pivotField numFmtId="165" showAll="0"/>
    <pivotField numFmtId="165" showAll="0"/>
    <pivotField numFmtId="165" showAll="0"/>
    <pivotField numFmtId="1" showAll="0"/>
    <pivotField numFmtId="1" showAll="0"/>
    <pivotField showAll="0"/>
    <pivotField showAll="0"/>
    <pivotField numFmtId="9" showAll="0"/>
    <pivotField numFmtId="9" showAll="0"/>
    <pivotField numFmtId="9" showAll="0"/>
    <pivotField numFmtId="9" showAll="0"/>
    <pivotField showAll="0" defaultSubtotal="0"/>
    <pivotField showAll="0" defaultSubtotal="0"/>
  </pivotFields>
  <formats count="1">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 xr10:uid="{BB6CA1E5-9828-4E40-A567-847ED85D6A8D}" sourceName="Shift">
  <pivotTables>
    <pivotTable tabId="10" name="statistics"/>
    <pivotTable tabId="10" name="Time"/>
    <pivotTable tabId="10" name="Achieve trend"/>
    <pivotTable tabId="10" name="MTBF"/>
    <pivotTable tabId="10" name="OEE"/>
    <pivotTable tabId="10" name="loses"/>
    <pivotTable tabId="10" name="Product achieve"/>
    <pivotTable tabId="10" name="root cause"/>
  </pivotTables>
  <data>
    <tabular pivotCacheId="416822168">
      <items count="3">
        <i x="2" s="1"/>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 xr10:uid="{3ED11891-19EA-4E65-A7A5-DEAEE9F08901}" sourceName="Line">
  <pivotTables>
    <pivotTable tabId="10" name="statistics"/>
    <pivotTable tabId="10" name="Time"/>
    <pivotTable tabId="10" name="Achieve trend"/>
    <pivotTable tabId="10" name="loses"/>
    <pivotTable tabId="10" name="Product achieve"/>
    <pivotTable tabId="10" name="root cause"/>
    <pivotTable tabId="10" name="MTBF"/>
    <pivotTable tabId="10" name="MTTR"/>
    <pivotTable tabId="10" name="OEE"/>
  </pivotTables>
  <data>
    <tabular pivotCacheId="416822168">
      <items count="5">
        <i x="3" s="1"/>
        <i x="2" s="1"/>
        <i x="0" s="1"/>
        <i x="4"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A4C22170-1BF0-4088-8C99-7962A3E3E618}" sourceName="Product">
  <pivotTables>
    <pivotTable tabId="10" name="statistics"/>
    <pivotTable tabId="10" name="Time"/>
    <pivotTable tabId="10" name="Achieve trend"/>
    <pivotTable tabId="10" name="MTBF"/>
    <pivotTable tabId="10" name="OEE"/>
    <pivotTable tabId="10" name="loses"/>
    <pivotTable tabId="10" name="Product achieve"/>
    <pivotTable tabId="10" name="root cause"/>
  </pivotTables>
  <data>
    <tabular pivotCacheId="416822168">
      <items count="7">
        <i x="3" s="1"/>
        <i x="0" s="1"/>
        <i x="2" s="1"/>
        <i x="1" s="1"/>
        <i x="6" s="1"/>
        <i x="5"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ilure_Root_Cause" xr10:uid="{4FBC4413-4907-489E-9804-A6C92D3257BB}" sourceName="Failure Root Cause">
  <pivotTables>
    <pivotTable tabId="10" name="Time"/>
    <pivotTable tabId="10" name="loses"/>
    <pivotTable tabId="10" name="OEE"/>
    <pivotTable tabId="10" name="Product achieve"/>
  </pivotTables>
  <data>
    <tabular pivotCacheId="416822168">
      <items count="9">
        <i x="2" s="1"/>
        <i x="6" s="1"/>
        <i x="0" s="1"/>
        <i x="1" s="1"/>
        <i x="8" s="1"/>
        <i x="7" s="1"/>
        <i x="3" s="1"/>
        <i x="5" s="1"/>
        <i x="4"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ft" xr10:uid="{E697DBF7-A5AB-4E48-8AFF-629D2B089319}" cache="Slicer_Shift" caption="Shift" columnCount="3" style="Slicer Style 1" rowHeight="241300"/>
  <slicer name="Line" xr10:uid="{FC3D4E1F-69DD-47B6-A7B4-A936F580F66D}" cache="Slicer_Line" caption="Line" style="Slicer Style 1" rowHeight="241300"/>
  <slicer name="Product" xr10:uid="{7EF937C8-1342-4033-920E-0A0EC98B857F}" cache="Slicer_Product" caption="Product" startItem="1" style="Slicer Style 1" rowHeight="241300"/>
  <slicer name="Failure Root Cause" xr10:uid="{797C791A-531A-4F3F-A7AF-C41D16E54C0D}" cache="Slicer_Failure_Root_Cause" caption="Failure Root Cause"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5EB9F7-EABA-4389-9624-85E5125F3A13}" name="Production" displayName="Production" ref="B2:AB100" totalsRowShown="0" headerRowDxfId="38" headerRowBorderDxfId="37" tableBorderDxfId="36" totalsRowBorderDxfId="35">
  <autoFilter ref="B2:AB100" xr:uid="{9600A56A-EB2E-4CC5-AC75-2120858CFAEF}"/>
  <tableColumns count="27">
    <tableColumn id="1" xr3:uid="{5BBE9932-76AC-41CA-AFFD-8B76D83FC9FF}" name="Date" dataDxfId="34"/>
    <tableColumn id="2" xr3:uid="{DCFFDB20-3658-4E4D-B1A4-B6144DDBE366}" name="Shift" dataDxfId="33"/>
    <tableColumn id="3" xr3:uid="{75FB7863-1C91-416F-B668-0C3C11547285}" name="Line" dataDxfId="32"/>
    <tableColumn id="4" xr3:uid="{5B2E65DF-5437-4299-8759-DD9E8F173DFC}" name="Product" dataDxfId="31"/>
    <tableColumn id="5" xr3:uid="{4DC2A79D-A194-46A4-A78F-0FC2096DDE3A}" name="Actual Run Time (Hrs)" dataDxfId="30" dataCellStyle="Comma"/>
    <tableColumn id="6" xr3:uid="{0AB50E28-9EFE-4519-819B-D0D9FAF66B7F}" name="Available time (Hrs)" dataDxfId="29" dataCellStyle="Comma">
      <calculatedColumnFormula>IFERROR(VLOOKUP(Production[[#This Row],[Shift]],Database!G:H,2,0),"")</calculatedColumnFormula>
    </tableColumn>
    <tableColumn id="25" xr3:uid="{C2910066-78E4-4934-947A-502C0F21BE1E}" name="Planned downtime (Hrs)" dataDxfId="28" dataCellStyle="Comma"/>
    <tableColumn id="27" xr3:uid="{7833D13D-960F-4148-8362-16073E20F36B}" name="Available Run Time (Hrs)" dataDxfId="27" dataCellStyle="Comma">
      <calculatedColumnFormula>IFERROR(Production[[#This Row],[Available time (Hrs)]]-Production[[#This Row],[Planned downtime (Hrs)]],"")</calculatedColumnFormula>
    </tableColumn>
    <tableColumn id="7" xr3:uid="{F4786027-EF06-42D6-8E48-6238F39B4494}" name="Lose Time (Hrs)" dataDxfId="26" dataCellStyle="Comma">
      <calculatedColumnFormula>IF(Production[[#This Row],[Available time (Hrs)]]="","",Production[[#This Row],[Available time (Hrs)]]-Production[[#This Row],[Actual Run Time (Hrs)]]-Production[[#This Row],[Planned downtime (Hrs)]])</calculatedColumnFormula>
    </tableColumn>
    <tableColumn id="8" xr3:uid="{630DDFEA-4005-4288-B72A-EA3188839E42}" name="Failure Root Cause" dataDxfId="25"/>
    <tableColumn id="9" xr3:uid="{B5E78DB1-0E38-48D2-8896-E9EF70860061}" name="Target Quantity" dataDxfId="24" dataCellStyle="Comma">
      <calculatedColumnFormula>IFERROR(Production[[#This Row],[UPH]]*(Production[[#This Row],[Available time (Hrs)]]-Production[[#This Row],[Planned downtime (Hrs)]]),"")</calculatedColumnFormula>
    </tableColumn>
    <tableColumn id="10" xr3:uid="{28FDB98A-3E03-4A07-A941-DB6B160D3837}" name="Ok Quantity" dataDxfId="23" dataCellStyle="Comma"/>
    <tableColumn id="11" xr3:uid="{C89C63A8-B076-4826-84F0-FBA102DE0B7F}" name="Defect Quantity" dataDxfId="22" dataCellStyle="Comma"/>
    <tableColumn id="12" xr3:uid="{B29F8EF5-FF5E-49BC-B522-890B0F6C2056}" name="Breakdowns" dataDxfId="21" dataCellStyle="Comma"/>
    <tableColumn id="26" xr3:uid="{7569DE66-1501-42A4-A6B8-C67072EC4460}" name="Defect %" dataDxfId="20" dataCellStyle="Percent">
      <calculatedColumnFormula>IFERROR(Production[[#This Row],[Defect Quantity]]/(Production[[#This Row],[Defect Quantity]]+Production[[#This Row],[Ok Quantity]]),"")</calculatedColumnFormula>
    </tableColumn>
    <tableColumn id="13" xr3:uid="{85436A75-4C6A-49E3-8455-D8AE3115F4A0}" name="Plan Achieve %" dataDxfId="19" dataCellStyle="Percent">
      <calculatedColumnFormula>IFERROR(IF(Production[[#This Row],[Ok Quantity]]="","",Production[[#This Row],[Ok Quantity]]/Production[[#This Row],[Target Quantity]]),"")</calculatedColumnFormula>
    </tableColumn>
    <tableColumn id="14" xr3:uid="{5A9F03FF-0066-495E-9D75-C31EA1326BF3}" name="Defect Cost" dataDxfId="18" dataCellStyle="Comma">
      <calculatedColumnFormula>IFERROR(VLOOKUP(Production[[#This Row],[Product]],Database!B:E,4,0)*Production[[#This Row],[Defect Quantity]],"")</calculatedColumnFormula>
    </tableColumn>
    <tableColumn id="15" xr3:uid="{8C86FE6B-3C44-4CEB-82F3-BC280F035DFA}" name="Lose Time Cost" dataDxfId="17" dataCellStyle="Comma">
      <calculatedColumnFormula>IFERROR(VLOOKUP(Production[[#This Row],[Line]],Database!L:M,2,0)*(Production[[#This Row],[Lose Time (Hrs)]]),"")</calculatedColumnFormula>
    </tableColumn>
    <tableColumn id="23" xr3:uid="{BA879D49-14D3-4963-944F-5907EF05C322}" name="Total Lose Cost" dataDxfId="16" dataCellStyle="Comma">
      <calculatedColumnFormula>IFERROR(Production[[#This Row],[Lose Time Cost]]+Production[[#This Row],[Defect Cost]],"")</calculatedColumnFormula>
    </tableColumn>
    <tableColumn id="16" xr3:uid="{D34CF9E1-DBB9-4B9F-B14B-FF4F87AD9438}" name="UPH" dataDxfId="15" dataCellStyle="Comma">
      <calculatedColumnFormula>IFERROR(3600/VLOOKUP(Production[[#This Row],[Product]],Database!B:E,2,0),"")</calculatedColumnFormula>
    </tableColumn>
    <tableColumn id="24" xr3:uid="{31CD636A-6811-4D32-961B-33060C7EFF05}" name="UPPH" dataDxfId="14" dataCellStyle="Comma">
      <calculatedColumnFormula>IFERROR(Production[[#This Row],[UPH]]/VLOOKUP(Production[[#This Row],[Product]],Database!B:E,3,0),"")</calculatedColumnFormula>
    </tableColumn>
    <tableColumn id="17" xr3:uid="{26710BD9-EB07-4A09-AF2C-157E2DDDCBB9}" name="MTBF (Hrs)" dataDxfId="13">
      <calculatedColumnFormula>IFERROR(Production[[#This Row],[Actual Run Time (Hrs)]]/Production[[#This Row],[Breakdowns]],"")</calculatedColumnFormula>
    </tableColumn>
    <tableColumn id="18" xr3:uid="{C9127065-A94F-4718-A36E-B501FDDC82C3}" name="MTTR (Hrs)" dataDxfId="12">
      <calculatedColumnFormula>IFERROR(Production[[#This Row],[Lose Time (Hrs)]]/Production[[#This Row],[Breakdowns]],"")</calculatedColumnFormula>
    </tableColumn>
    <tableColumn id="19" xr3:uid="{FFCCE4A5-0CE4-476A-84B7-32272AEE7CF5}" name="Availability %" dataDxfId="11" dataCellStyle="Percent">
      <calculatedColumnFormula>IFERROR(IF(Production[[#This Row],[Actual Run Time (Hrs)]]="","",Production[[#This Row],[Actual Run Time (Hrs)]]/(Production[[#This Row],[Available time (Hrs)]]-Production[[#This Row],[Planned downtime (Hrs)]])),"")</calculatedColumnFormula>
    </tableColumn>
    <tableColumn id="20" xr3:uid="{A10817BC-647E-4BB2-ACDD-CD9AA28DCE7C}" name="Performance %" dataDxfId="10" dataCellStyle="Percent">
      <calculatedColumnFormula>IFERROR((IF(Production[[#This Row],[Ok Quantity]]="","",Production[[#This Row],[Ok Quantity]]+Production[[#This Row],[Defect Quantity]])/Production[[#This Row],[Target Quantity]]),"")</calculatedColumnFormula>
    </tableColumn>
    <tableColumn id="21" xr3:uid="{B2265A43-87B2-472D-AF00-1582599F77E3}" name="Quality %" dataDxfId="9" dataCellStyle="Percent">
      <calculatedColumnFormula>IFERROR(Production[[#This Row],[Ok Quantity]]/(Production[[#This Row],[Ok Quantity]]+Production[[#This Row],[Defect Quantity]]),"")</calculatedColumnFormula>
    </tableColumn>
    <tableColumn id="22" xr3:uid="{67FA1E01-2B61-4995-9B46-150EF746E45F}" name="OEE %" dataDxfId="8" dataCellStyle="Percent">
      <calculatedColumnFormula>IFERROR(Production[[#This Row],[Quality %]]*Production[[#This Row],[Performance %]]*Production[[#This Row],[Availability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75D45C05-9141-4436-A392-ED5CBB21F5DD}" sourceName="Date">
  <pivotTables>
    <pivotTable tabId="10" name="Time"/>
    <pivotTable tabId="10" name="statistics"/>
    <pivotTable tabId="10" name="Achieve trend"/>
    <pivotTable tabId="10" name="MTBF"/>
    <pivotTable tabId="10" name="OEE"/>
    <pivotTable tabId="10" name="loses"/>
    <pivotTable tabId="10" name="Product achieve"/>
    <pivotTable tabId="10" name="root cause"/>
  </pivotTables>
  <state minimalRefreshVersion="6" lastRefreshVersion="6" pivotCacheId="416822168" filterType="unknown">
    <bounds startDate="2015-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0B117ED3-7D38-40AC-9098-F7149D09A6E7}" cache="NativeTimeline_Date" caption="Date" showHorizontalScrollbar="0" level="1" selectionLevel="1" scrollPosition="2017-03-13T00:00:00" style="Timeline Style 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N88"/>
  <sheetViews>
    <sheetView showGridLines="0" showRowColHeaders="0" topLeftCell="A67" zoomScale="80" zoomScaleNormal="80" workbookViewId="0">
      <pane xSplit="3" topLeftCell="D1" activePane="topRight" state="frozen"/>
      <selection pane="topRight" activeCell="D83" sqref="D83:D87"/>
    </sheetView>
  </sheetViews>
  <sheetFormatPr defaultRowHeight="12.75" x14ac:dyDescent="0.2"/>
  <cols>
    <col min="1" max="1" width="19.28515625" style="7"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2"/>
      <c r="D5" s="2"/>
    </row>
    <row r="6" spans="1:4" ht="15" x14ac:dyDescent="0.25">
      <c r="A6" s="12" t="s">
        <v>142</v>
      </c>
      <c r="B6" s="2" t="s">
        <v>0</v>
      </c>
      <c r="D6" s="2" t="s">
        <v>139</v>
      </c>
    </row>
    <row r="7" spans="1:4" ht="15" x14ac:dyDescent="0.25">
      <c r="A7" s="12" t="s">
        <v>143</v>
      </c>
    </row>
    <row r="8" spans="1:4" ht="15" x14ac:dyDescent="0.25">
      <c r="A8" s="12" t="s">
        <v>13</v>
      </c>
      <c r="B8" s="2" t="s">
        <v>1</v>
      </c>
      <c r="D8" s="1" t="s">
        <v>141</v>
      </c>
    </row>
    <row r="9" spans="1:4" ht="15" x14ac:dyDescent="0.25">
      <c r="A9" s="12" t="s">
        <v>144</v>
      </c>
      <c r="D9" s="1" t="s">
        <v>138</v>
      </c>
    </row>
    <row r="11" spans="1:4" x14ac:dyDescent="0.2">
      <c r="A11" s="8"/>
    </row>
    <row r="12" spans="1:4" x14ac:dyDescent="0.2">
      <c r="B12" s="2" t="s">
        <v>149</v>
      </c>
      <c r="C12" s="4" t="s">
        <v>145</v>
      </c>
      <c r="D12" s="1" t="s">
        <v>146</v>
      </c>
    </row>
    <row r="13" spans="1:4" x14ac:dyDescent="0.2">
      <c r="C13" s="4" t="s">
        <v>147</v>
      </c>
      <c r="D13" s="1" t="s">
        <v>155</v>
      </c>
    </row>
    <row r="14" spans="1:4" x14ac:dyDescent="0.2">
      <c r="C14" s="4" t="s">
        <v>148</v>
      </c>
      <c r="D14" s="1" t="s">
        <v>154</v>
      </c>
    </row>
    <row r="15" spans="1:4" x14ac:dyDescent="0.2">
      <c r="C15" s="4" t="s">
        <v>46</v>
      </c>
      <c r="D15" s="1" t="s">
        <v>156</v>
      </c>
    </row>
    <row r="16" spans="1:4" x14ac:dyDescent="0.2">
      <c r="C16" s="4" t="s">
        <v>45</v>
      </c>
      <c r="D16" s="1" t="s">
        <v>152</v>
      </c>
    </row>
    <row r="17" spans="2:4" x14ac:dyDescent="0.2">
      <c r="C17" s="4" t="s">
        <v>60</v>
      </c>
      <c r="D17" s="1" t="s">
        <v>153</v>
      </c>
    </row>
    <row r="18" spans="2:4" x14ac:dyDescent="0.2">
      <c r="C18" s="4" t="s">
        <v>81</v>
      </c>
      <c r="D18" s="1" t="s">
        <v>157</v>
      </c>
    </row>
    <row r="19" spans="2:4" x14ac:dyDescent="0.2">
      <c r="C19" s="4" t="s">
        <v>85</v>
      </c>
      <c r="D19" s="1" t="s">
        <v>158</v>
      </c>
    </row>
    <row r="20" spans="2:4" x14ac:dyDescent="0.2">
      <c r="C20" s="4" t="s">
        <v>151</v>
      </c>
      <c r="D20" s="1" t="s">
        <v>159</v>
      </c>
    </row>
    <row r="21" spans="2:4" x14ac:dyDescent="0.2">
      <c r="C21" s="4" t="s">
        <v>150</v>
      </c>
      <c r="D21" s="1" t="s">
        <v>160</v>
      </c>
    </row>
    <row r="22" spans="2:4" x14ac:dyDescent="0.2">
      <c r="C22" s="4" t="s">
        <v>115</v>
      </c>
      <c r="D22" s="1" t="s">
        <v>161</v>
      </c>
    </row>
    <row r="23" spans="2:4" x14ac:dyDescent="0.2">
      <c r="C23" s="4" t="s">
        <v>116</v>
      </c>
      <c r="D23" s="1" t="s">
        <v>162</v>
      </c>
    </row>
    <row r="26" spans="2:4" x14ac:dyDescent="0.2">
      <c r="B26" s="3" t="s">
        <v>2</v>
      </c>
      <c r="D26" s="3">
        <v>2</v>
      </c>
    </row>
    <row r="28" spans="2:4" x14ac:dyDescent="0.2">
      <c r="B28" s="3" t="s">
        <v>3</v>
      </c>
      <c r="C28" s="5" t="s">
        <v>142</v>
      </c>
      <c r="D28" s="1" t="s">
        <v>163</v>
      </c>
    </row>
    <row r="29" spans="2:4" x14ac:dyDescent="0.2">
      <c r="C29" s="5" t="s">
        <v>143</v>
      </c>
      <c r="D29" s="1" t="s">
        <v>164</v>
      </c>
    </row>
    <row r="30" spans="2:4" x14ac:dyDescent="0.2">
      <c r="C30" s="5" t="s">
        <v>13</v>
      </c>
      <c r="D30" s="1" t="s">
        <v>165</v>
      </c>
    </row>
    <row r="31" spans="2:4" x14ac:dyDescent="0.2">
      <c r="C31" s="5" t="s">
        <v>144</v>
      </c>
      <c r="D31" s="1" t="s">
        <v>166</v>
      </c>
    </row>
    <row r="33" spans="2:4" x14ac:dyDescent="0.2">
      <c r="B33" s="3" t="s">
        <v>4</v>
      </c>
      <c r="C33" s="6" t="s">
        <v>5</v>
      </c>
      <c r="D33" s="1" t="s">
        <v>167</v>
      </c>
    </row>
    <row r="34" spans="2:4" x14ac:dyDescent="0.2">
      <c r="C34" s="6" t="s">
        <v>6</v>
      </c>
      <c r="D34" s="1" t="s">
        <v>168</v>
      </c>
    </row>
    <row r="35" spans="2:4" x14ac:dyDescent="0.2">
      <c r="C35" s="6" t="s">
        <v>7</v>
      </c>
      <c r="D35" s="1" t="s">
        <v>169</v>
      </c>
    </row>
    <row r="36" spans="2:4" x14ac:dyDescent="0.2">
      <c r="C36" s="6" t="s">
        <v>8</v>
      </c>
      <c r="D36" s="1" t="s">
        <v>170</v>
      </c>
    </row>
    <row r="37" spans="2:4" x14ac:dyDescent="0.2">
      <c r="C37" s="6" t="s">
        <v>9</v>
      </c>
      <c r="D37" s="1" t="s">
        <v>171</v>
      </c>
    </row>
    <row r="38" spans="2:4" x14ac:dyDescent="0.2">
      <c r="C38" s="6" t="s">
        <v>10</v>
      </c>
      <c r="D38" s="1" t="s">
        <v>172</v>
      </c>
    </row>
    <row r="39" spans="2:4" x14ac:dyDescent="0.2">
      <c r="C39" s="6" t="s">
        <v>11</v>
      </c>
      <c r="D39" s="1" t="s">
        <v>173</v>
      </c>
    </row>
    <row r="40" spans="2:4" x14ac:dyDescent="0.2">
      <c r="C40" s="6" t="s">
        <v>12</v>
      </c>
      <c r="D40" s="1" t="s">
        <v>174</v>
      </c>
    </row>
    <row r="41" spans="2:4" x14ac:dyDescent="0.2">
      <c r="C41" s="6" t="s">
        <v>175</v>
      </c>
      <c r="D41" s="1" t="s">
        <v>176</v>
      </c>
    </row>
    <row r="42" spans="2:4" x14ac:dyDescent="0.2">
      <c r="C42" s="6" t="s">
        <v>177</v>
      </c>
      <c r="D42" s="1" t="s">
        <v>182</v>
      </c>
    </row>
    <row r="43" spans="2:4" x14ac:dyDescent="0.2">
      <c r="C43" s="6" t="s">
        <v>178</v>
      </c>
      <c r="D43" s="1" t="s">
        <v>183</v>
      </c>
    </row>
    <row r="44" spans="2:4" x14ac:dyDescent="0.2">
      <c r="C44" s="6" t="s">
        <v>179</v>
      </c>
      <c r="D44" s="1" t="s">
        <v>184</v>
      </c>
    </row>
    <row r="45" spans="2:4" x14ac:dyDescent="0.2">
      <c r="C45" s="6" t="s">
        <v>180</v>
      </c>
      <c r="D45" s="1" t="s">
        <v>201</v>
      </c>
    </row>
    <row r="46" spans="2:4" x14ac:dyDescent="0.2">
      <c r="C46" s="6" t="s">
        <v>181</v>
      </c>
      <c r="D46" s="1" t="s">
        <v>185</v>
      </c>
    </row>
    <row r="47" spans="2:4" x14ac:dyDescent="0.2">
      <c r="C47" s="6" t="s">
        <v>186</v>
      </c>
      <c r="D47" s="1" t="s">
        <v>187</v>
      </c>
    </row>
    <row r="48" spans="2:4" x14ac:dyDescent="0.2">
      <c r="C48" s="6" t="s">
        <v>194</v>
      </c>
      <c r="D48" s="1" t="s">
        <v>188</v>
      </c>
    </row>
    <row r="49" spans="2:14" x14ac:dyDescent="0.2">
      <c r="C49" s="6" t="s">
        <v>195</v>
      </c>
      <c r="D49" s="1" t="s">
        <v>189</v>
      </c>
    </row>
    <row r="50" spans="2:14" x14ac:dyDescent="0.2">
      <c r="C50" s="6" t="s">
        <v>196</v>
      </c>
      <c r="D50" s="1" t="s">
        <v>202</v>
      </c>
    </row>
    <row r="51" spans="2:14" x14ac:dyDescent="0.2">
      <c r="C51" s="6" t="s">
        <v>197</v>
      </c>
      <c r="D51" s="1" t="s">
        <v>190</v>
      </c>
    </row>
    <row r="52" spans="2:14" x14ac:dyDescent="0.2">
      <c r="C52" s="6" t="s">
        <v>198</v>
      </c>
      <c r="D52" s="1" t="s">
        <v>191</v>
      </c>
    </row>
    <row r="53" spans="2:14" x14ac:dyDescent="0.2">
      <c r="C53" s="6" t="s">
        <v>199</v>
      </c>
      <c r="D53" s="1" t="s">
        <v>192</v>
      </c>
    </row>
    <row r="54" spans="2:14" x14ac:dyDescent="0.2">
      <c r="C54" s="6" t="s">
        <v>200</v>
      </c>
      <c r="D54" s="1" t="s">
        <v>193</v>
      </c>
    </row>
    <row r="55" spans="2:14" x14ac:dyDescent="0.2">
      <c r="C55" s="6" t="s">
        <v>203</v>
      </c>
      <c r="D55" s="1" t="s">
        <v>204</v>
      </c>
    </row>
    <row r="59" spans="2:14" x14ac:dyDescent="0.2">
      <c r="B59" s="2" t="s">
        <v>205</v>
      </c>
      <c r="C59" s="6"/>
      <c r="D59" s="93" t="s">
        <v>206</v>
      </c>
      <c r="H59" s="95"/>
      <c r="I59" s="95"/>
      <c r="J59" s="95"/>
      <c r="K59" s="95"/>
      <c r="L59" s="95"/>
      <c r="M59" s="95"/>
      <c r="N59" s="95"/>
    </row>
    <row r="60" spans="2:14" x14ac:dyDescent="0.2">
      <c r="D60" s="93" t="s">
        <v>207</v>
      </c>
      <c r="H60" s="95"/>
      <c r="I60" s="95"/>
      <c r="J60" s="95"/>
      <c r="K60" s="95"/>
      <c r="L60" s="95"/>
      <c r="M60" s="95"/>
      <c r="N60" s="95"/>
    </row>
    <row r="61" spans="2:14" x14ac:dyDescent="0.2">
      <c r="H61" s="95"/>
      <c r="I61" s="95"/>
      <c r="J61" s="95"/>
      <c r="K61" s="95"/>
      <c r="L61" s="95"/>
      <c r="M61" s="95"/>
      <c r="N61" s="95"/>
    </row>
    <row r="62" spans="2:14" x14ac:dyDescent="0.2">
      <c r="C62" s="94" t="s">
        <v>208</v>
      </c>
      <c r="D62" s="1" t="s">
        <v>209</v>
      </c>
      <c r="H62" s="95"/>
      <c r="I62" s="95"/>
      <c r="J62" s="95"/>
      <c r="K62" s="95"/>
      <c r="L62" s="95"/>
      <c r="M62" s="95"/>
      <c r="N62" s="95"/>
    </row>
    <row r="63" spans="2:14" x14ac:dyDescent="0.2">
      <c r="D63" s="6"/>
      <c r="H63" s="95"/>
      <c r="I63" s="95"/>
      <c r="J63" s="95"/>
      <c r="K63" s="95"/>
      <c r="L63" s="95"/>
      <c r="M63" s="95"/>
      <c r="N63" s="95"/>
    </row>
    <row r="64" spans="2:14" x14ac:dyDescent="0.2">
      <c r="D64" s="6"/>
      <c r="H64" s="95"/>
      <c r="I64" s="95"/>
      <c r="J64" s="95"/>
      <c r="K64" s="95"/>
      <c r="L64" s="95"/>
      <c r="M64" s="95"/>
      <c r="N64" s="95"/>
    </row>
    <row r="65" spans="3:14" x14ac:dyDescent="0.2">
      <c r="D65" s="6"/>
      <c r="H65" s="95"/>
      <c r="I65" s="95"/>
      <c r="J65" s="95"/>
      <c r="K65" s="95"/>
      <c r="L65" s="95"/>
      <c r="M65" s="95"/>
      <c r="N65" s="95"/>
    </row>
    <row r="66" spans="3:14" x14ac:dyDescent="0.2">
      <c r="D66" s="6"/>
      <c r="H66" s="95"/>
      <c r="I66" s="95"/>
      <c r="J66" s="95"/>
      <c r="K66" s="95"/>
      <c r="L66" s="95"/>
      <c r="M66" s="95"/>
      <c r="N66" s="95"/>
    </row>
    <row r="67" spans="3:14" x14ac:dyDescent="0.2">
      <c r="D67" s="6"/>
      <c r="H67" s="95"/>
      <c r="I67" s="95"/>
      <c r="J67" s="95"/>
      <c r="K67" s="95"/>
      <c r="L67" s="95"/>
      <c r="M67" s="95"/>
      <c r="N67" s="95"/>
    </row>
    <row r="68" spans="3:14" x14ac:dyDescent="0.2">
      <c r="C68" s="94" t="s">
        <v>210</v>
      </c>
      <c r="D68" s="1" t="s">
        <v>211</v>
      </c>
      <c r="H68" s="95"/>
      <c r="I68" s="95"/>
      <c r="J68" s="95"/>
      <c r="K68" s="95"/>
      <c r="L68" s="95"/>
      <c r="M68" s="95"/>
      <c r="N68" s="95"/>
    </row>
    <row r="69" spans="3:14" x14ac:dyDescent="0.2">
      <c r="H69" s="95"/>
      <c r="I69" s="95"/>
      <c r="J69" s="95"/>
      <c r="K69" s="95"/>
      <c r="L69" s="95"/>
      <c r="M69" s="95"/>
      <c r="N69" s="95"/>
    </row>
    <row r="70" spans="3:14" x14ac:dyDescent="0.2">
      <c r="C70" s="94" t="s">
        <v>213</v>
      </c>
      <c r="D70" s="1" t="s">
        <v>212</v>
      </c>
      <c r="H70" s="95"/>
      <c r="I70" s="95"/>
      <c r="J70" s="95"/>
      <c r="K70" s="95"/>
      <c r="L70" s="95"/>
      <c r="M70" s="95"/>
      <c r="N70" s="95"/>
    </row>
    <row r="71" spans="3:14" x14ac:dyDescent="0.2">
      <c r="H71" s="95"/>
      <c r="I71" s="95"/>
      <c r="J71" s="95"/>
      <c r="K71" s="95"/>
      <c r="L71" s="95"/>
      <c r="M71" s="95"/>
      <c r="N71" s="95"/>
    </row>
    <row r="72" spans="3:14" x14ac:dyDescent="0.2">
      <c r="H72" s="95"/>
      <c r="I72" s="95"/>
      <c r="J72" s="95"/>
      <c r="K72" s="95"/>
      <c r="L72" s="95"/>
      <c r="M72" s="95"/>
      <c r="N72" s="95"/>
    </row>
    <row r="73" spans="3:14" x14ac:dyDescent="0.2">
      <c r="H73" s="95"/>
      <c r="I73" s="95"/>
      <c r="J73" s="95"/>
      <c r="K73" s="95"/>
      <c r="L73" s="95"/>
      <c r="M73" s="95"/>
      <c r="N73" s="95"/>
    </row>
    <row r="74" spans="3:14" x14ac:dyDescent="0.2">
      <c r="H74" s="95"/>
      <c r="I74" s="95"/>
      <c r="J74" s="95"/>
      <c r="K74" s="95"/>
      <c r="L74" s="95"/>
      <c r="M74" s="95"/>
      <c r="N74" s="95"/>
    </row>
    <row r="75" spans="3:14" x14ac:dyDescent="0.2">
      <c r="H75" s="95"/>
      <c r="I75" s="95"/>
      <c r="J75" s="95"/>
      <c r="K75" s="95"/>
      <c r="L75" s="95"/>
      <c r="M75" s="95"/>
      <c r="N75" s="95"/>
    </row>
    <row r="76" spans="3:14" x14ac:dyDescent="0.2">
      <c r="C76" s="94" t="s">
        <v>214</v>
      </c>
      <c r="D76" s="1" t="s">
        <v>215</v>
      </c>
      <c r="H76" s="95"/>
      <c r="I76" s="95"/>
      <c r="J76" s="95"/>
      <c r="K76" s="95"/>
      <c r="L76" s="95"/>
      <c r="M76" s="95"/>
      <c r="N76" s="95"/>
    </row>
    <row r="77" spans="3:14" x14ac:dyDescent="0.2">
      <c r="H77" s="95"/>
      <c r="I77" s="95"/>
      <c r="J77" s="95"/>
      <c r="K77" s="95"/>
      <c r="L77" s="95"/>
      <c r="M77" s="95"/>
      <c r="N77" s="95"/>
    </row>
    <row r="78" spans="3:14" x14ac:dyDescent="0.2">
      <c r="H78" s="95"/>
      <c r="I78" s="95"/>
      <c r="J78" s="95"/>
      <c r="K78" s="95"/>
      <c r="L78" s="95"/>
      <c r="M78" s="95"/>
      <c r="N78" s="95"/>
    </row>
    <row r="79" spans="3:14" x14ac:dyDescent="0.2">
      <c r="H79" s="95"/>
      <c r="I79" s="95"/>
      <c r="J79" s="95"/>
      <c r="K79" s="95"/>
      <c r="L79" s="95"/>
      <c r="M79" s="95"/>
      <c r="N79" s="95"/>
    </row>
    <row r="80" spans="3:14" x14ac:dyDescent="0.2">
      <c r="H80" s="95"/>
      <c r="I80" s="95"/>
      <c r="J80" s="95"/>
      <c r="K80" s="95"/>
      <c r="L80" s="95"/>
      <c r="M80" s="95"/>
      <c r="N80" s="95"/>
    </row>
    <row r="81" spans="2:14" x14ac:dyDescent="0.2">
      <c r="H81" s="95"/>
      <c r="I81" s="95"/>
      <c r="J81" s="95"/>
      <c r="K81" s="95"/>
      <c r="L81" s="95"/>
      <c r="M81" s="95"/>
      <c r="N81" s="95"/>
    </row>
    <row r="82" spans="2:14" x14ac:dyDescent="0.2">
      <c r="D82" s="93"/>
      <c r="H82" s="95"/>
      <c r="I82" s="95"/>
      <c r="J82" s="95"/>
      <c r="K82" s="95"/>
      <c r="L82" s="95"/>
      <c r="M82" s="95"/>
      <c r="N82" s="95"/>
    </row>
    <row r="83" spans="2:14" x14ac:dyDescent="0.2">
      <c r="D83" s="95"/>
      <c r="H83" s="95"/>
      <c r="I83" s="95"/>
      <c r="J83" s="95"/>
      <c r="K83" s="95"/>
      <c r="L83" s="95"/>
      <c r="M83" s="95"/>
      <c r="N83" s="95"/>
    </row>
    <row r="84" spans="2:14" ht="15" x14ac:dyDescent="0.25">
      <c r="D84" s="96"/>
      <c r="H84" s="95"/>
      <c r="I84" s="95"/>
      <c r="J84" s="95"/>
      <c r="K84" s="95"/>
      <c r="L84" s="95"/>
      <c r="M84" s="95"/>
      <c r="N84" s="95"/>
    </row>
    <row r="85" spans="2:14" x14ac:dyDescent="0.2">
      <c r="D85" s="95"/>
      <c r="H85" s="95"/>
      <c r="I85" s="95"/>
      <c r="J85" s="95"/>
      <c r="K85" s="95"/>
      <c r="L85" s="95"/>
      <c r="M85" s="95"/>
      <c r="N85" s="95"/>
    </row>
    <row r="86" spans="2:14" x14ac:dyDescent="0.2">
      <c r="D86" s="95"/>
      <c r="H86" s="95"/>
      <c r="I86" s="95"/>
      <c r="J86" s="95"/>
      <c r="K86" s="95"/>
      <c r="L86" s="95"/>
      <c r="M86" s="95"/>
      <c r="N86" s="95"/>
    </row>
    <row r="87" spans="2:14" x14ac:dyDescent="0.2">
      <c r="D87" s="95"/>
      <c r="H87" s="95"/>
      <c r="I87" s="95"/>
      <c r="J87" s="95"/>
      <c r="K87" s="95"/>
      <c r="L87" s="95"/>
      <c r="M87" s="95"/>
      <c r="N87" s="95"/>
    </row>
    <row r="88" spans="2:14" x14ac:dyDescent="0.2">
      <c r="B88" s="95"/>
      <c r="C88" s="95"/>
      <c r="D88" s="95"/>
      <c r="E88" s="95"/>
      <c r="F88" s="95"/>
      <c r="G88" s="95"/>
      <c r="H88" s="95"/>
      <c r="I88" s="95"/>
      <c r="J88" s="95"/>
      <c r="K88" s="95"/>
      <c r="L88" s="95"/>
      <c r="M88" s="95"/>
      <c r="N88" s="95"/>
    </row>
  </sheetData>
  <conditionalFormatting sqref="D26">
    <cfRule type="iconSet" priority="1">
      <iconSet reverse="1">
        <cfvo type="percent" val="0"/>
        <cfvo type="num" val="1" gte="0"/>
        <cfvo type="num" val="2" gte="0"/>
      </iconSet>
    </cfRule>
  </conditionalFormatting>
  <hyperlinks>
    <hyperlink ref="A6" location="Dashboard!A1" display="Dashboard" xr:uid="{E92E8BDE-78B1-40CB-802A-37BA12139E08}"/>
    <hyperlink ref="A7" location="'Raw Data'!A1" display="Raw Data" xr:uid="{ABBB5612-B4DB-4DCE-AD4C-0378DCAE3A96}"/>
    <hyperlink ref="A8" location="Database!A1" display="Database" xr:uid="{C62264D5-4D6A-48C4-B53B-9291BE9FBD56}"/>
    <hyperlink ref="A9" location="Calculator!A1" display="Calculator" xr:uid="{E2F90F65-B45D-47B6-8D98-AF6412D673E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8F2BC-A087-4416-83E6-9303286A2C16}">
  <sheetPr codeName="Sheet2">
    <tabColor rgb="FF50B47F"/>
  </sheetPr>
  <dimension ref="A1:W49"/>
  <sheetViews>
    <sheetView showGridLines="0" showRowColHeaders="0" tabSelected="1" zoomScale="80" zoomScaleNormal="80" workbookViewId="0">
      <selection activeCell="Q16" sqref="Q16:W19"/>
    </sheetView>
  </sheetViews>
  <sheetFormatPr defaultColWidth="0" defaultRowHeight="0" customHeight="1" zeroHeight="1" x14ac:dyDescent="0.2"/>
  <cols>
    <col min="1" max="1" width="8.7109375" style="1" customWidth="1"/>
    <col min="2" max="5" width="9.7109375" style="1" customWidth="1"/>
    <col min="6" max="6" width="13.140625" style="1" customWidth="1"/>
    <col min="7" max="9" width="9.7109375" style="1" customWidth="1"/>
    <col min="10" max="10" width="10.7109375" style="1" customWidth="1"/>
    <col min="11" max="11" width="16.5703125" style="1" customWidth="1"/>
    <col min="12" max="12" width="10.42578125" style="1" customWidth="1"/>
    <col min="13" max="13" width="18.140625" style="1" customWidth="1"/>
    <col min="14" max="14" width="9.7109375" style="1" customWidth="1"/>
    <col min="15" max="15" width="8.140625" style="1" customWidth="1"/>
    <col min="16" max="16" width="10.28515625" style="1" customWidth="1"/>
    <col min="17" max="17" width="9.85546875" style="1" customWidth="1"/>
    <col min="18" max="19" width="9.7109375" style="1" customWidth="1"/>
    <col min="20" max="21" width="9.85546875" style="1" customWidth="1"/>
    <col min="22" max="23" width="9.140625" style="1" customWidth="1"/>
    <col min="24" max="16384" width="9.140625" style="1" hidden="1"/>
  </cols>
  <sheetData>
    <row r="1" spans="1:23" ht="21" customHeight="1" x14ac:dyDescent="0.25">
      <c r="A1" s="102" t="s">
        <v>139</v>
      </c>
      <c r="B1" s="102"/>
      <c r="C1" s="102"/>
      <c r="D1" s="104" t="s">
        <v>94</v>
      </c>
      <c r="E1" s="104"/>
      <c r="F1" s="105"/>
      <c r="G1" s="104" t="s">
        <v>90</v>
      </c>
      <c r="H1" s="104"/>
      <c r="I1" s="104" t="s">
        <v>91</v>
      </c>
      <c r="J1" s="104"/>
      <c r="K1" s="114" t="s">
        <v>56</v>
      </c>
      <c r="L1" s="104"/>
      <c r="M1" s="115"/>
      <c r="N1" s="116" t="s">
        <v>107</v>
      </c>
      <c r="O1" s="104"/>
      <c r="P1" s="104"/>
      <c r="Q1" s="104"/>
      <c r="R1" s="115"/>
      <c r="S1" s="104" t="s">
        <v>106</v>
      </c>
      <c r="T1" s="104"/>
      <c r="U1" s="104"/>
      <c r="V1" s="104"/>
      <c r="W1" s="104"/>
    </row>
    <row r="2" spans="1:23" ht="12.75" customHeight="1" x14ac:dyDescent="0.2">
      <c r="A2" s="102"/>
      <c r="B2" s="102"/>
      <c r="C2" s="102"/>
      <c r="D2" s="106">
        <f>IFERROR(GETPIVOTDATA("Sum of Ok Quantity",Sheet1!$A$3),"")</f>
        <v>43927</v>
      </c>
      <c r="E2" s="106"/>
      <c r="F2" s="107"/>
      <c r="G2" s="106">
        <f>IFERROR(GETPIVOTDATA("Sum of Defect Quantity",Sheet1!$A$3),"")</f>
        <v>7074</v>
      </c>
      <c r="H2" s="106"/>
      <c r="I2" s="112">
        <f>IFERROR(GETPIVOTDATA("Average of Defect %",Sheet1!$A$3),"")</f>
        <v>0.13681903245561552</v>
      </c>
      <c r="J2" s="112"/>
      <c r="K2" s="74"/>
      <c r="L2" s="75"/>
      <c r="M2" s="110">
        <f>IFERROR(GETPIVOTDATA("Average of Plan Achieve %",Sheet1!$A$3),"")</f>
        <v>0.69416828636216377</v>
      </c>
      <c r="N2" s="72"/>
      <c r="O2" s="37"/>
      <c r="P2" s="37"/>
      <c r="Q2" s="117">
        <f>IFERROR(GETPIVOTDATA("Sum of Total Lose Cost",Sheet1!$A$3),"")</f>
        <v>489252</v>
      </c>
      <c r="R2" s="118"/>
      <c r="S2" s="38"/>
      <c r="T2" s="38"/>
      <c r="U2" s="38"/>
      <c r="V2" s="112">
        <f>IFERROR(GETPIVOTDATA("Average of OEE %",Sheet1!$A$3),"")</f>
        <v>0.57818316442223161</v>
      </c>
      <c r="W2" s="112"/>
    </row>
    <row r="3" spans="1:23" ht="12.75" customHeight="1" x14ac:dyDescent="0.2">
      <c r="A3" s="102"/>
      <c r="B3" s="102"/>
      <c r="C3" s="102"/>
      <c r="D3" s="106"/>
      <c r="E3" s="106"/>
      <c r="F3" s="107"/>
      <c r="G3" s="106"/>
      <c r="H3" s="106"/>
      <c r="I3" s="112"/>
      <c r="J3" s="112"/>
      <c r="K3" s="79" t="s">
        <v>121</v>
      </c>
      <c r="L3" s="76">
        <f>IFERROR(GETPIVOTDATA("Sum of Actual Run Time (Hrs)",Sheet1!$S$3),"")</f>
        <v>571</v>
      </c>
      <c r="M3" s="110"/>
      <c r="N3" s="98" t="s">
        <v>48</v>
      </c>
      <c r="O3" s="97"/>
      <c r="P3" s="71">
        <f>IFERROR(GETPIVOTDATA("Sum of Defect Cost",Sheet1!$A$3),"")</f>
        <v>344452</v>
      </c>
      <c r="Q3" s="117"/>
      <c r="R3" s="118"/>
      <c r="S3" s="97" t="s">
        <v>78</v>
      </c>
      <c r="T3" s="97"/>
      <c r="U3" s="70">
        <f>IFERROR(GETPIVOTDATA("Average of Availability %",Sheet1!$A$3),"")</f>
        <v>0.83236151603498543</v>
      </c>
      <c r="V3" s="112"/>
      <c r="W3" s="112"/>
    </row>
    <row r="4" spans="1:23" ht="12.75" customHeight="1" x14ac:dyDescent="0.2">
      <c r="A4" s="102"/>
      <c r="B4" s="102"/>
      <c r="C4" s="102"/>
      <c r="D4" s="106"/>
      <c r="E4" s="106"/>
      <c r="F4" s="107"/>
      <c r="G4" s="106"/>
      <c r="H4" s="106"/>
      <c r="I4" s="112"/>
      <c r="J4" s="112"/>
      <c r="K4" s="79" t="s">
        <v>122</v>
      </c>
      <c r="L4" s="76">
        <f>IFERROR(GETPIVOTDATA("Sum of Lose Time (Hrs)",Sheet1!$S$3),"")</f>
        <v>115</v>
      </c>
      <c r="M4" s="110"/>
      <c r="N4" s="99"/>
      <c r="O4" s="100"/>
      <c r="P4" s="37"/>
      <c r="Q4" s="117"/>
      <c r="R4" s="118"/>
      <c r="S4" s="97" t="s">
        <v>79</v>
      </c>
      <c r="T4" s="97"/>
      <c r="U4" s="70">
        <f>IFERROR(GETPIVOTDATA("Average of Performance %",Sheet1!$A$3),"")</f>
        <v>0.80634475218658908</v>
      </c>
      <c r="V4" s="112"/>
      <c r="W4" s="112"/>
    </row>
    <row r="5" spans="1:23" ht="12.75" customHeight="1" x14ac:dyDescent="0.2">
      <c r="A5" s="102"/>
      <c r="B5" s="102"/>
      <c r="C5" s="102"/>
      <c r="D5" s="106"/>
      <c r="E5" s="106"/>
      <c r="F5" s="107"/>
      <c r="G5" s="106"/>
      <c r="H5" s="106"/>
      <c r="I5" s="112"/>
      <c r="J5" s="112"/>
      <c r="K5" s="80" t="s">
        <v>123</v>
      </c>
      <c r="L5" s="77">
        <f>IFERROR(GETPIVOTDATA("Average of UPH",Sheet1!$S$3),"")</f>
        <v>92.572647835805753</v>
      </c>
      <c r="M5" s="110"/>
      <c r="N5" s="98" t="s">
        <v>49</v>
      </c>
      <c r="O5" s="97"/>
      <c r="P5" s="71">
        <f>IFERROR(GETPIVOTDATA("Sum of Lose Time Cost",Sheet1!$A$3),"")</f>
        <v>144800</v>
      </c>
      <c r="Q5" s="117"/>
      <c r="R5" s="118"/>
      <c r="S5" s="97" t="s">
        <v>26</v>
      </c>
      <c r="T5" s="97"/>
      <c r="U5" s="70">
        <f>IFERROR(GETPIVOTDATA("Average of Quality %",Sheet1!$A$3),"")</f>
        <v>0.86318096754438411</v>
      </c>
      <c r="V5" s="112"/>
      <c r="W5" s="112"/>
    </row>
    <row r="6" spans="1:23" ht="12.75" customHeight="1" thickBot="1" x14ac:dyDescent="0.25">
      <c r="A6" s="103"/>
      <c r="B6" s="103"/>
      <c r="C6" s="103"/>
      <c r="D6" s="108"/>
      <c r="E6" s="108"/>
      <c r="F6" s="109"/>
      <c r="G6" s="108"/>
      <c r="H6" s="108"/>
      <c r="I6" s="113"/>
      <c r="J6" s="113"/>
      <c r="K6" s="78"/>
      <c r="L6" s="63"/>
      <c r="M6" s="111"/>
      <c r="N6" s="73"/>
      <c r="O6" s="39"/>
      <c r="P6" s="39"/>
      <c r="Q6" s="119"/>
      <c r="R6" s="120"/>
      <c r="S6" s="40"/>
      <c r="T6" s="40"/>
      <c r="U6" s="40"/>
      <c r="V6" s="113"/>
      <c r="W6" s="113"/>
    </row>
    <row r="7" spans="1:23" ht="12.75" customHeight="1" x14ac:dyDescent="0.2"/>
    <row r="8" spans="1:23" ht="12.75" customHeight="1" x14ac:dyDescent="0.2"/>
    <row r="9" spans="1:23" ht="12.75" customHeight="1" x14ac:dyDescent="0.2"/>
    <row r="10" spans="1:23" ht="12.75" customHeight="1" x14ac:dyDescent="0.2"/>
    <row r="11" spans="1:23" ht="12.75" x14ac:dyDescent="0.2">
      <c r="R11" s="35"/>
    </row>
    <row r="12" spans="1:23" ht="12.75" customHeight="1" x14ac:dyDescent="0.2"/>
    <row r="13" spans="1:23" ht="12.75" customHeight="1" x14ac:dyDescent="0.2"/>
    <row r="14" spans="1:23" ht="12.75" customHeight="1" x14ac:dyDescent="0.2"/>
    <row r="15" spans="1:23" ht="12.75" customHeight="1" x14ac:dyDescent="0.2">
      <c r="Q15" s="101"/>
      <c r="R15" s="101"/>
      <c r="S15" s="101"/>
      <c r="T15" s="101"/>
      <c r="U15" s="101"/>
      <c r="V15" s="101"/>
      <c r="W15" s="101"/>
    </row>
    <row r="16" spans="1:23" ht="12.75" customHeight="1" x14ac:dyDescent="0.2">
      <c r="Q16" s="101" t="s">
        <v>118</v>
      </c>
      <c r="R16" s="101"/>
      <c r="S16" s="101"/>
      <c r="T16" s="101"/>
      <c r="U16" s="101"/>
      <c r="V16" s="101"/>
      <c r="W16" s="101"/>
    </row>
    <row r="17" spans="15:23" ht="12.75" customHeight="1" x14ac:dyDescent="0.2">
      <c r="Q17" s="64" t="s">
        <v>117</v>
      </c>
      <c r="R17" s="65" t="s">
        <v>111</v>
      </c>
      <c r="S17" s="65" t="s">
        <v>112</v>
      </c>
      <c r="T17" s="65" t="s">
        <v>113</v>
      </c>
      <c r="U17" s="65" t="s">
        <v>114</v>
      </c>
      <c r="V17" s="65" t="s">
        <v>115</v>
      </c>
      <c r="W17" s="65" t="s">
        <v>116</v>
      </c>
    </row>
    <row r="18" spans="15:23" ht="12.75" customHeight="1" x14ac:dyDescent="0.2">
      <c r="Q18" s="66" t="s">
        <v>120</v>
      </c>
      <c r="R18" s="68">
        <v>0.15</v>
      </c>
      <c r="S18" s="68">
        <v>0.85</v>
      </c>
      <c r="T18" s="68">
        <v>0.8</v>
      </c>
      <c r="U18" s="68">
        <v>0.8</v>
      </c>
      <c r="V18" s="68">
        <v>0.85</v>
      </c>
      <c r="W18" s="68">
        <v>0.7</v>
      </c>
    </row>
    <row r="19" spans="15:23" ht="12.75" customHeight="1" x14ac:dyDescent="0.2">
      <c r="Q19" s="67" t="s">
        <v>119</v>
      </c>
      <c r="R19" s="69">
        <v>0.1</v>
      </c>
      <c r="S19" s="69">
        <v>0.95</v>
      </c>
      <c r="T19" s="69">
        <v>0.85</v>
      </c>
      <c r="U19" s="69">
        <v>0.85</v>
      </c>
      <c r="V19" s="69">
        <v>0.9</v>
      </c>
      <c r="W19" s="69">
        <v>0.8</v>
      </c>
    </row>
    <row r="20" spans="15:23" ht="12.75" customHeight="1" x14ac:dyDescent="0.2"/>
    <row r="21" spans="15:23" ht="12.75" customHeight="1" x14ac:dyDescent="0.2">
      <c r="Q21" s="36"/>
      <c r="R21" s="36"/>
      <c r="S21" s="36"/>
      <c r="T21" s="36"/>
    </row>
    <row r="22" spans="15:23" ht="12.75" x14ac:dyDescent="0.2">
      <c r="O22" s="36"/>
      <c r="P22" s="36"/>
    </row>
    <row r="23" spans="15:23" ht="12.75" customHeight="1" x14ac:dyDescent="0.2"/>
    <row r="24" spans="15:23" ht="12.75" customHeight="1" x14ac:dyDescent="0.2"/>
    <row r="25" spans="15:23" ht="12.75" customHeight="1" x14ac:dyDescent="0.2"/>
    <row r="26" spans="15:23" ht="12.75" customHeight="1" x14ac:dyDescent="0.2"/>
    <row r="27" spans="15:23" ht="12.75" customHeight="1" x14ac:dyDescent="0.2"/>
    <row r="28" spans="15:23" ht="12.75" customHeight="1" x14ac:dyDescent="0.2"/>
    <row r="29" spans="15:23" ht="12.75" customHeight="1" x14ac:dyDescent="0.2"/>
    <row r="30" spans="15:23" ht="12.75" customHeight="1" x14ac:dyDescent="0.2"/>
    <row r="31" spans="15:23" ht="12.75" customHeight="1" x14ac:dyDescent="0.2"/>
    <row r="32" spans="15:23"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sheetData>
  <sheetProtection selectLockedCells="1" selectUnlockedCells="1"/>
  <mergeCells count="21">
    <mergeCell ref="Q16:W16"/>
    <mergeCell ref="A1:C6"/>
    <mergeCell ref="D1:F1"/>
    <mergeCell ref="D2:F6"/>
    <mergeCell ref="M2:M6"/>
    <mergeCell ref="G2:H6"/>
    <mergeCell ref="I2:J6"/>
    <mergeCell ref="G1:H1"/>
    <mergeCell ref="I1:J1"/>
    <mergeCell ref="K1:M1"/>
    <mergeCell ref="Q15:W15"/>
    <mergeCell ref="N1:R1"/>
    <mergeCell ref="S1:W1"/>
    <mergeCell ref="Q2:R6"/>
    <mergeCell ref="V2:W6"/>
    <mergeCell ref="S3:T3"/>
    <mergeCell ref="S5:T5"/>
    <mergeCell ref="S4:T4"/>
    <mergeCell ref="N3:O3"/>
    <mergeCell ref="N5:O5"/>
    <mergeCell ref="N4:O4"/>
  </mergeCells>
  <conditionalFormatting sqref="K2:L2 L3:L6">
    <cfRule type="cellIs" dxfId="79" priority="14" operator="greaterThan">
      <formula>0.9</formula>
    </cfRule>
    <cfRule type="cellIs" dxfId="78" priority="15" operator="between">
      <formula>0.8</formula>
      <formula>0.9</formula>
    </cfRule>
    <cfRule type="cellIs" dxfId="77" priority="16" operator="lessThan">
      <formula>0.8</formula>
    </cfRule>
  </conditionalFormatting>
  <conditionalFormatting sqref="V2:W6">
    <cfRule type="cellIs" dxfId="76" priority="29" operator="greaterThanOrEqual">
      <formula>$W$19</formula>
    </cfRule>
    <cfRule type="cellIs" dxfId="75" priority="30" operator="between">
      <formula>$W$18</formula>
      <formula>$W$19</formula>
    </cfRule>
    <cfRule type="cellIs" dxfId="74" priority="31" operator="lessThanOrEqual">
      <formula>$W$18</formula>
    </cfRule>
  </conditionalFormatting>
  <conditionalFormatting sqref="M2">
    <cfRule type="cellIs" dxfId="73" priority="32" operator="greaterThanOrEqual">
      <formula>$S$19</formula>
    </cfRule>
    <cfRule type="cellIs" dxfId="72" priority="33" operator="between">
      <formula>$S$18</formula>
      <formula>$S$19</formula>
    </cfRule>
    <cfRule type="cellIs" dxfId="71" priority="34" operator="lessThanOrEqual">
      <formula>$S$18</formula>
    </cfRule>
  </conditionalFormatting>
  <conditionalFormatting sqref="U3">
    <cfRule type="cellIs" dxfId="70" priority="35" operator="greaterThanOrEqual">
      <formula>$T$19</formula>
    </cfRule>
    <cfRule type="cellIs" dxfId="69" priority="36" operator="between">
      <formula>$T$18</formula>
      <formula>$T$19</formula>
    </cfRule>
    <cfRule type="cellIs" dxfId="68" priority="37" operator="lessThanOrEqual">
      <formula>$T$18</formula>
    </cfRule>
  </conditionalFormatting>
  <conditionalFormatting sqref="I2:J6">
    <cfRule type="cellIs" dxfId="67" priority="38" operator="lessThanOrEqual">
      <formula>$R$19</formula>
    </cfRule>
    <cfRule type="cellIs" dxfId="66" priority="39" operator="between">
      <formula>$R$19</formula>
      <formula>$R$18</formula>
    </cfRule>
    <cfRule type="cellIs" dxfId="65" priority="40" operator="greaterThanOrEqual">
      <formula>$R$18</formula>
    </cfRule>
  </conditionalFormatting>
  <conditionalFormatting sqref="U4">
    <cfRule type="cellIs" dxfId="64" priority="41" operator="greaterThanOrEqual">
      <formula>$U$19</formula>
    </cfRule>
    <cfRule type="cellIs" dxfId="63" priority="42" operator="between">
      <formula>$U$18</formula>
      <formula>$U$19</formula>
    </cfRule>
    <cfRule type="cellIs" dxfId="62" priority="43" operator="lessThanOrEqual">
      <formula>$U$18</formula>
    </cfRule>
  </conditionalFormatting>
  <conditionalFormatting sqref="U5">
    <cfRule type="cellIs" dxfId="61" priority="44" operator="greaterThanOrEqual">
      <formula>$V$19</formula>
    </cfRule>
    <cfRule type="cellIs" dxfId="60" priority="45" operator="between">
      <formula>$V$18</formula>
      <formula>$V$19</formula>
    </cfRule>
    <cfRule type="cellIs" dxfId="59" priority="46" operator="lessThanOrEqual">
      <formula>$V$18</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
                <anchor moveWithCells="1" sizeWithCells="1">
                  <from>
                    <xdr:col>0</xdr:col>
                    <xdr:colOff>47625</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4098" r:id="rId5" name="Button 2">
              <controlPr defaultSize="0" print="0" autoFill="0" autoPict="0" macro="[0]!Full_screen">
                <anchor moveWithCells="1" sizeWithCells="1">
                  <from>
                    <xdr:col>1</xdr:col>
                    <xdr:colOff>371475</xdr:colOff>
                    <xdr:row>6</xdr:row>
                    <xdr:rowOff>9525</xdr:rowOff>
                  </from>
                  <to>
                    <xdr:col>2</xdr:col>
                    <xdr:colOff>609600</xdr:colOff>
                    <xdr:row>7</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1BE3-0066-4AC1-99EA-816D691F42A9}">
  <sheetPr codeName="Sheet5"/>
  <dimension ref="A3:AV29"/>
  <sheetViews>
    <sheetView topLeftCell="AC1" workbookViewId="0">
      <selection activeCell="AI3" sqref="AI3"/>
    </sheetView>
  </sheetViews>
  <sheetFormatPr defaultRowHeight="15" x14ac:dyDescent="0.25"/>
  <cols>
    <col min="1" max="1" width="13.140625" bestFit="1" customWidth="1"/>
    <col min="2" max="2" width="18.42578125" bestFit="1" customWidth="1"/>
    <col min="3" max="3" width="22" bestFit="1" customWidth="1"/>
    <col min="4" max="4" width="19.140625" bestFit="1" customWidth="1"/>
    <col min="5" max="5" width="24.85546875" bestFit="1" customWidth="1"/>
    <col min="6" max="6" width="18" bestFit="1" customWidth="1"/>
    <col min="7" max="8" width="21" bestFit="1" customWidth="1"/>
    <col min="9" max="9" width="23.42578125" bestFit="1" customWidth="1"/>
    <col min="10" max="10" width="24.85546875" bestFit="1" customWidth="1"/>
    <col min="11" max="11" width="19.7109375" bestFit="1" customWidth="1"/>
    <col min="12" max="12" width="16.5703125" bestFit="1" customWidth="1"/>
    <col min="13" max="13" width="15" bestFit="1" customWidth="1"/>
    <col min="15" max="15" width="13.140625" bestFit="1" customWidth="1"/>
    <col min="16" max="16" width="27.140625" bestFit="1" customWidth="1"/>
    <col min="17" max="17" width="21" bestFit="1" customWidth="1"/>
    <col min="19" max="19" width="13.140625" bestFit="1" customWidth="1"/>
    <col min="20" max="20" width="27.140625" bestFit="1" customWidth="1"/>
    <col min="21" max="21" width="21.5703125" bestFit="1" customWidth="1"/>
    <col min="22" max="22" width="15" bestFit="1" customWidth="1"/>
    <col min="24" max="24" width="13.140625" bestFit="1" customWidth="1"/>
    <col min="25" max="25" width="24.85546875" bestFit="1" customWidth="1"/>
    <col min="26" max="26" width="18.42578125" bestFit="1" customWidth="1"/>
    <col min="28" max="28" width="13.140625" bestFit="1" customWidth="1"/>
    <col min="29" max="31" width="21" bestFit="1" customWidth="1"/>
    <col min="32" max="32" width="13.140625" bestFit="1" customWidth="1"/>
    <col min="33" max="33" width="21" bestFit="1" customWidth="1"/>
    <col min="35" max="35" width="13.140625" bestFit="1" customWidth="1"/>
    <col min="36" max="36" width="16.5703125" bestFit="1" customWidth="1"/>
    <col min="38" max="38" width="13.140625" bestFit="1" customWidth="1"/>
    <col min="39" max="39" width="24.85546875" bestFit="1" customWidth="1"/>
    <col min="40" max="40" width="19.140625" bestFit="1" customWidth="1"/>
    <col min="42" max="42" width="19.5703125" bestFit="1" customWidth="1"/>
    <col min="43" max="43" width="21.5703125" bestFit="1" customWidth="1"/>
    <col min="45" max="45" width="13.140625" bestFit="1" customWidth="1"/>
    <col min="46" max="46" width="30" bestFit="1" customWidth="1"/>
    <col min="47" max="47" width="27.140625" bestFit="1" customWidth="1"/>
    <col min="48" max="49" width="21.5703125" bestFit="1" customWidth="1"/>
  </cols>
  <sheetData>
    <row r="3" spans="1:48" x14ac:dyDescent="0.25">
      <c r="A3" s="50" t="s">
        <v>92</v>
      </c>
      <c r="B3" t="s">
        <v>95</v>
      </c>
      <c r="C3" t="s">
        <v>96</v>
      </c>
      <c r="D3" t="s">
        <v>105</v>
      </c>
      <c r="E3" s="52" t="s">
        <v>100</v>
      </c>
      <c r="F3" t="s">
        <v>97</v>
      </c>
      <c r="G3" t="s">
        <v>98</v>
      </c>
      <c r="H3" t="s">
        <v>99</v>
      </c>
      <c r="I3" s="52" t="s">
        <v>101</v>
      </c>
      <c r="J3" s="52" t="s">
        <v>102</v>
      </c>
      <c r="K3" s="52" t="s">
        <v>103</v>
      </c>
      <c r="L3" s="52" t="s">
        <v>104</v>
      </c>
      <c r="M3" t="s">
        <v>108</v>
      </c>
      <c r="O3" s="53"/>
      <c r="P3" s="54"/>
      <c r="Q3" s="55"/>
      <c r="S3" s="50" t="s">
        <v>92</v>
      </c>
      <c r="T3" t="s">
        <v>109</v>
      </c>
      <c r="U3" t="s">
        <v>110</v>
      </c>
      <c r="V3" t="s">
        <v>108</v>
      </c>
      <c r="X3" s="50" t="s">
        <v>92</v>
      </c>
      <c r="Y3" t="s">
        <v>100</v>
      </c>
      <c r="Z3" t="s">
        <v>95</v>
      </c>
      <c r="AB3" s="50" t="s">
        <v>92</v>
      </c>
      <c r="AC3" t="s">
        <v>129</v>
      </c>
      <c r="AD3" t="s">
        <v>130</v>
      </c>
      <c r="AF3" s="53"/>
      <c r="AG3" s="54"/>
      <c r="AH3" s="55"/>
      <c r="AI3" s="50" t="s">
        <v>92</v>
      </c>
      <c r="AJ3" t="s">
        <v>104</v>
      </c>
      <c r="AL3" s="50" t="s">
        <v>92</v>
      </c>
      <c r="AM3" t="s">
        <v>100</v>
      </c>
      <c r="AN3" t="s">
        <v>105</v>
      </c>
      <c r="AP3" s="50" t="s">
        <v>92</v>
      </c>
      <c r="AQ3" t="s">
        <v>110</v>
      </c>
      <c r="AS3" s="50" t="s">
        <v>92</v>
      </c>
      <c r="AT3" t="s">
        <v>137</v>
      </c>
      <c r="AU3" t="s">
        <v>109</v>
      </c>
      <c r="AV3" t="s">
        <v>110</v>
      </c>
    </row>
    <row r="4" spans="1:48" x14ac:dyDescent="0.25">
      <c r="A4" s="51" t="s">
        <v>21</v>
      </c>
      <c r="B4">
        <v>5427</v>
      </c>
      <c r="C4">
        <v>839</v>
      </c>
      <c r="D4" s="52">
        <v>0.13360021733607239</v>
      </c>
      <c r="E4" s="52">
        <v>0.71785714285714297</v>
      </c>
      <c r="F4">
        <v>33560</v>
      </c>
      <c r="G4">
        <v>28700</v>
      </c>
      <c r="H4">
        <v>62260</v>
      </c>
      <c r="I4" s="52">
        <v>0.73809523809523814</v>
      </c>
      <c r="J4" s="52">
        <v>0.82883597883597904</v>
      </c>
      <c r="K4" s="52">
        <v>0.86639978266392748</v>
      </c>
      <c r="L4" s="52">
        <v>0.53046107331821613</v>
      </c>
      <c r="M4" s="62">
        <v>90</v>
      </c>
      <c r="O4" s="56"/>
      <c r="P4" s="57"/>
      <c r="Q4" s="58"/>
      <c r="S4" s="51" t="s">
        <v>27</v>
      </c>
      <c r="T4">
        <v>113</v>
      </c>
      <c r="U4">
        <v>20</v>
      </c>
      <c r="V4" s="62">
        <v>93.685707868533356</v>
      </c>
      <c r="X4" s="51" t="s">
        <v>133</v>
      </c>
      <c r="Y4" s="52">
        <v>0.68675264550264548</v>
      </c>
      <c r="Z4" s="90">
        <v>10740</v>
      </c>
      <c r="AB4" s="51" t="s">
        <v>27</v>
      </c>
      <c r="AC4" s="83">
        <v>4.875</v>
      </c>
      <c r="AD4" s="83">
        <v>1.5416666666666667</v>
      </c>
      <c r="AF4" s="84"/>
      <c r="AG4" s="85"/>
      <c r="AH4" s="86"/>
      <c r="AI4" s="51" t="s">
        <v>21</v>
      </c>
      <c r="AJ4" s="52">
        <v>0.53046107331821613</v>
      </c>
      <c r="AL4" s="51" t="s">
        <v>21</v>
      </c>
      <c r="AM4" s="52">
        <v>0.71785714285714297</v>
      </c>
      <c r="AN4" s="52">
        <v>0.13360021733607239</v>
      </c>
      <c r="AP4" s="51" t="s">
        <v>35</v>
      </c>
      <c r="AQ4">
        <v>12</v>
      </c>
      <c r="AS4" s="51" t="s">
        <v>133</v>
      </c>
    </row>
    <row r="5" spans="1:48" x14ac:dyDescent="0.25">
      <c r="A5" s="51" t="s">
        <v>20</v>
      </c>
      <c r="B5">
        <v>4901</v>
      </c>
      <c r="C5">
        <v>711</v>
      </c>
      <c r="D5" s="52">
        <v>0.12644439918911685</v>
      </c>
      <c r="E5" s="52">
        <v>0.61881313131313131</v>
      </c>
      <c r="F5">
        <v>35550</v>
      </c>
      <c r="G5">
        <v>21900</v>
      </c>
      <c r="H5">
        <v>57450</v>
      </c>
      <c r="I5" s="52">
        <v>0.77922077922077915</v>
      </c>
      <c r="J5" s="52">
        <v>0.70858585858585854</v>
      </c>
      <c r="K5" s="52">
        <v>0.87355560081088324</v>
      </c>
      <c r="L5" s="52">
        <v>0.48133116883116878</v>
      </c>
      <c r="M5" s="62">
        <v>102.85714285714288</v>
      </c>
      <c r="O5" s="56"/>
      <c r="P5" s="57"/>
      <c r="Q5" s="58"/>
      <c r="S5" s="51" t="s">
        <v>28</v>
      </c>
      <c r="T5">
        <v>126</v>
      </c>
      <c r="U5">
        <v>21</v>
      </c>
      <c r="V5" s="62">
        <v>91.984497924347551</v>
      </c>
      <c r="X5" s="82" t="s">
        <v>124</v>
      </c>
      <c r="Y5" s="52">
        <v>0.66035714285714298</v>
      </c>
      <c r="Z5" s="90">
        <v>3508</v>
      </c>
      <c r="AB5" s="51" t="s">
        <v>28</v>
      </c>
      <c r="AC5" s="83">
        <v>4.1111111111111107</v>
      </c>
      <c r="AD5" s="83">
        <v>0.94444444444444442</v>
      </c>
      <c r="AF5" s="84"/>
      <c r="AG5" s="85"/>
      <c r="AH5" s="86"/>
      <c r="AI5" s="51" t="s">
        <v>20</v>
      </c>
      <c r="AJ5" s="52">
        <v>0.48133116883116878</v>
      </c>
      <c r="AL5" s="51" t="s">
        <v>20</v>
      </c>
      <c r="AM5" s="52">
        <v>0.61881313131313131</v>
      </c>
      <c r="AN5" s="52">
        <v>0.12644439918911685</v>
      </c>
      <c r="AP5" s="51" t="s">
        <v>33</v>
      </c>
      <c r="AQ5">
        <v>10</v>
      </c>
      <c r="AS5" s="82" t="s">
        <v>124</v>
      </c>
      <c r="AT5">
        <v>56</v>
      </c>
      <c r="AU5">
        <v>46</v>
      </c>
      <c r="AV5">
        <v>10</v>
      </c>
    </row>
    <row r="6" spans="1:48" x14ac:dyDescent="0.25">
      <c r="A6" s="51" t="s">
        <v>19</v>
      </c>
      <c r="B6">
        <v>6257</v>
      </c>
      <c r="C6">
        <v>1012</v>
      </c>
      <c r="D6" s="52">
        <v>0.137266061160466</v>
      </c>
      <c r="E6" s="52">
        <v>0.70941043083900213</v>
      </c>
      <c r="F6">
        <v>60720</v>
      </c>
      <c r="G6">
        <v>23000</v>
      </c>
      <c r="H6">
        <v>83720</v>
      </c>
      <c r="I6" s="52">
        <v>0.82653061224489777</v>
      </c>
      <c r="J6" s="52">
        <v>0.82414965986394562</v>
      </c>
      <c r="K6" s="52">
        <v>0.86273393883953398</v>
      </c>
      <c r="L6" s="52">
        <v>0.58709102688694526</v>
      </c>
      <c r="M6" s="62">
        <v>90</v>
      </c>
      <c r="O6" s="56"/>
      <c r="P6" s="57"/>
      <c r="Q6" s="58"/>
      <c r="S6" s="51" t="s">
        <v>29</v>
      </c>
      <c r="T6">
        <v>102</v>
      </c>
      <c r="U6">
        <v>10</v>
      </c>
      <c r="V6" s="62">
        <v>93.704277585856516</v>
      </c>
      <c r="X6" s="82" t="s">
        <v>125</v>
      </c>
      <c r="Y6" s="52">
        <v>0.71406084656084656</v>
      </c>
      <c r="Z6" s="90">
        <v>1409</v>
      </c>
      <c r="AB6" s="51" t="s">
        <v>29</v>
      </c>
      <c r="AC6" s="83">
        <v>5.3125</v>
      </c>
      <c r="AD6" s="83">
        <v>0.8125</v>
      </c>
      <c r="AF6" s="84"/>
      <c r="AG6" s="85"/>
      <c r="AH6" s="86"/>
      <c r="AI6" s="51" t="s">
        <v>19</v>
      </c>
      <c r="AJ6" s="52">
        <v>0.58709102688694526</v>
      </c>
      <c r="AL6" s="51" t="s">
        <v>19</v>
      </c>
      <c r="AM6" s="52">
        <v>0.70941043083900213</v>
      </c>
      <c r="AN6" s="52">
        <v>0.137266061160466</v>
      </c>
      <c r="AP6" s="51" t="s">
        <v>36</v>
      </c>
      <c r="AQ6">
        <v>22</v>
      </c>
      <c r="AS6" s="82" t="s">
        <v>125</v>
      </c>
      <c r="AT6">
        <v>21</v>
      </c>
      <c r="AU6">
        <v>19</v>
      </c>
      <c r="AV6">
        <v>2</v>
      </c>
    </row>
    <row r="7" spans="1:48" x14ac:dyDescent="0.25">
      <c r="A7" s="51" t="s">
        <v>22</v>
      </c>
      <c r="B7">
        <v>9805</v>
      </c>
      <c r="C7">
        <v>1606</v>
      </c>
      <c r="D7" s="52">
        <v>0.13810260373894656</v>
      </c>
      <c r="E7" s="52">
        <v>0.65437409812409819</v>
      </c>
      <c r="F7">
        <v>88330</v>
      </c>
      <c r="G7">
        <v>29200</v>
      </c>
      <c r="H7">
        <v>117530</v>
      </c>
      <c r="I7" s="52">
        <v>0.8441558441558441</v>
      </c>
      <c r="J7" s="52">
        <v>0.76155663780663785</v>
      </c>
      <c r="K7" s="52">
        <v>0.86189739626105322</v>
      </c>
      <c r="L7" s="52">
        <v>0.55319805194805205</v>
      </c>
      <c r="M7" s="62">
        <v>97.297297297297291</v>
      </c>
      <c r="O7" s="56"/>
      <c r="P7" s="57"/>
      <c r="Q7" s="58"/>
      <c r="S7" s="51" t="s">
        <v>50</v>
      </c>
      <c r="T7">
        <v>152</v>
      </c>
      <c r="U7">
        <v>37</v>
      </c>
      <c r="V7" s="62">
        <v>91.590688432793712</v>
      </c>
      <c r="X7" s="82" t="s">
        <v>126</v>
      </c>
      <c r="Y7" s="52">
        <v>0.66626984126984123</v>
      </c>
      <c r="Z7" s="90">
        <v>3107</v>
      </c>
      <c r="AB7" s="51" t="s">
        <v>50</v>
      </c>
      <c r="AC7" s="83">
        <v>4.087301587301587</v>
      </c>
      <c r="AD7" s="83">
        <v>1.2460317460317458</v>
      </c>
      <c r="AF7" s="84"/>
      <c r="AG7" s="85"/>
      <c r="AH7" s="86"/>
      <c r="AI7" s="51" t="s">
        <v>22</v>
      </c>
      <c r="AJ7" s="52">
        <v>0.55319805194805205</v>
      </c>
      <c r="AL7" s="51" t="s">
        <v>22</v>
      </c>
      <c r="AM7" s="52">
        <v>0.65437409812409819</v>
      </c>
      <c r="AN7" s="52">
        <v>0.13810260373894656</v>
      </c>
      <c r="AP7" s="51" t="s">
        <v>68</v>
      </c>
      <c r="AQ7">
        <v>13</v>
      </c>
      <c r="AS7" s="82" t="s">
        <v>126</v>
      </c>
      <c r="AT7">
        <v>49</v>
      </c>
      <c r="AU7">
        <v>39</v>
      </c>
      <c r="AV7">
        <v>10</v>
      </c>
    </row>
    <row r="8" spans="1:48" x14ac:dyDescent="0.25">
      <c r="A8" s="51" t="s">
        <v>24</v>
      </c>
      <c r="B8">
        <v>5979</v>
      </c>
      <c r="C8">
        <v>842</v>
      </c>
      <c r="D8" s="52">
        <v>0.12061837404466101</v>
      </c>
      <c r="E8" s="52">
        <v>0.69353479853479838</v>
      </c>
      <c r="F8">
        <v>35364</v>
      </c>
      <c r="G8">
        <v>12800</v>
      </c>
      <c r="H8">
        <v>48164</v>
      </c>
      <c r="I8" s="52">
        <v>0.87912087912087911</v>
      </c>
      <c r="J8" s="52">
        <v>0.79120268620268608</v>
      </c>
      <c r="K8" s="52">
        <v>0.87938162595533897</v>
      </c>
      <c r="L8" s="52">
        <v>0.60932234432234422</v>
      </c>
      <c r="M8" s="62">
        <v>94.736842105263136</v>
      </c>
      <c r="O8" s="56"/>
      <c r="P8" s="57"/>
      <c r="Q8" s="58"/>
      <c r="S8" s="51" t="s">
        <v>51</v>
      </c>
      <c r="T8">
        <v>78</v>
      </c>
      <c r="U8">
        <v>27</v>
      </c>
      <c r="V8" s="62">
        <v>92.54663686242634</v>
      </c>
      <c r="X8" s="82" t="s">
        <v>127</v>
      </c>
      <c r="Y8" s="52">
        <v>0.73218915343915336</v>
      </c>
      <c r="Z8" s="90">
        <v>2716</v>
      </c>
      <c r="AB8" s="51" t="s">
        <v>51</v>
      </c>
      <c r="AC8" s="83">
        <v>3.2333333333333334</v>
      </c>
      <c r="AD8" s="83">
        <v>1.6666666666666667</v>
      </c>
      <c r="AF8" s="84"/>
      <c r="AG8" s="85"/>
      <c r="AH8" s="86"/>
      <c r="AI8" s="51" t="s">
        <v>24</v>
      </c>
      <c r="AJ8" s="52">
        <v>0.60932234432234422</v>
      </c>
      <c r="AL8" s="51" t="s">
        <v>24</v>
      </c>
      <c r="AM8" s="52">
        <v>0.69353479853479838</v>
      </c>
      <c r="AN8" s="52">
        <v>0.12061837404466101</v>
      </c>
      <c r="AP8" s="51" t="s">
        <v>67</v>
      </c>
      <c r="AQ8">
        <v>10</v>
      </c>
      <c r="AS8" s="82" t="s">
        <v>127</v>
      </c>
      <c r="AT8">
        <v>42</v>
      </c>
      <c r="AU8">
        <v>40</v>
      </c>
      <c r="AV8">
        <v>2</v>
      </c>
    </row>
    <row r="9" spans="1:48" x14ac:dyDescent="0.25">
      <c r="A9" s="51" t="s">
        <v>23</v>
      </c>
      <c r="B9">
        <v>4924</v>
      </c>
      <c r="C9">
        <v>896</v>
      </c>
      <c r="D9" s="52">
        <v>0.15290365149233434</v>
      </c>
      <c r="E9" s="52">
        <v>0.74606060606060609</v>
      </c>
      <c r="F9">
        <v>31360</v>
      </c>
      <c r="G9">
        <v>13100</v>
      </c>
      <c r="H9">
        <v>44460</v>
      </c>
      <c r="I9" s="52">
        <v>0.87012987012987009</v>
      </c>
      <c r="J9" s="52">
        <v>0.88181818181818195</v>
      </c>
      <c r="K9" s="52">
        <v>0.8470963485076658</v>
      </c>
      <c r="L9" s="52">
        <v>0.64811688311688309</v>
      </c>
      <c r="M9" s="62">
        <v>85.71428571428568</v>
      </c>
      <c r="O9" s="56"/>
      <c r="P9" s="57"/>
      <c r="Q9" s="58"/>
      <c r="S9" s="51" t="s">
        <v>93</v>
      </c>
      <c r="T9">
        <v>571</v>
      </c>
      <c r="U9">
        <v>115</v>
      </c>
      <c r="V9" s="62">
        <v>92.572647835805753</v>
      </c>
      <c r="X9" s="51" t="s">
        <v>134</v>
      </c>
      <c r="Y9" s="52">
        <v>0.69971877156659767</v>
      </c>
      <c r="Z9" s="90">
        <v>10380</v>
      </c>
      <c r="AB9" s="51" t="s">
        <v>93</v>
      </c>
      <c r="AC9" s="83">
        <v>4.2550505050505052</v>
      </c>
      <c r="AD9" s="83">
        <v>1.2424242424242427</v>
      </c>
      <c r="AF9" s="84"/>
      <c r="AG9" s="85"/>
      <c r="AH9" s="86"/>
      <c r="AI9" s="51" t="s">
        <v>23</v>
      </c>
      <c r="AJ9" s="52">
        <v>0.64811688311688309</v>
      </c>
      <c r="AL9" s="51" t="s">
        <v>23</v>
      </c>
      <c r="AM9" s="52">
        <v>0.74606060606060609</v>
      </c>
      <c r="AN9" s="52">
        <v>0.15290365149233434</v>
      </c>
      <c r="AP9" s="51" t="s">
        <v>32</v>
      </c>
      <c r="AQ9">
        <v>9</v>
      </c>
      <c r="AS9" s="51" t="s">
        <v>134</v>
      </c>
    </row>
    <row r="10" spans="1:48" x14ac:dyDescent="0.25">
      <c r="A10" s="51" t="s">
        <v>25</v>
      </c>
      <c r="B10">
        <v>6634</v>
      </c>
      <c r="C10">
        <v>1168</v>
      </c>
      <c r="D10" s="52">
        <v>0.14694753426917004</v>
      </c>
      <c r="E10" s="52">
        <v>0.73711111111111116</v>
      </c>
      <c r="F10">
        <v>59568</v>
      </c>
      <c r="G10">
        <v>16100</v>
      </c>
      <c r="H10">
        <v>75668</v>
      </c>
      <c r="I10" s="52">
        <v>0.8666666666666667</v>
      </c>
      <c r="J10" s="52">
        <v>0.86688888888888893</v>
      </c>
      <c r="K10" s="52">
        <v>0.85305246573083005</v>
      </c>
      <c r="L10" s="52">
        <v>0.63744444444444437</v>
      </c>
      <c r="M10" s="62">
        <v>85.714285714285708</v>
      </c>
      <c r="O10" s="56"/>
      <c r="P10" s="57"/>
      <c r="Q10" s="58"/>
      <c r="X10" s="82" t="s">
        <v>124</v>
      </c>
      <c r="Y10" s="52">
        <v>0.64515211640211645</v>
      </c>
      <c r="Z10" s="90">
        <v>2532</v>
      </c>
      <c r="AF10" s="84"/>
      <c r="AG10" s="85"/>
      <c r="AH10" s="86"/>
      <c r="AI10" s="51" t="s">
        <v>25</v>
      </c>
      <c r="AJ10" s="52">
        <v>0.63744444444444437</v>
      </c>
      <c r="AL10" s="51" t="s">
        <v>25</v>
      </c>
      <c r="AM10" s="52">
        <v>0.73711111111111116</v>
      </c>
      <c r="AN10" s="52">
        <v>0.14694753426917004</v>
      </c>
      <c r="AP10" s="51" t="s">
        <v>37</v>
      </c>
      <c r="AQ10">
        <v>30</v>
      </c>
      <c r="AS10" s="82" t="s">
        <v>124</v>
      </c>
      <c r="AT10">
        <v>42</v>
      </c>
      <c r="AU10">
        <v>36</v>
      </c>
      <c r="AV10">
        <v>6</v>
      </c>
    </row>
    <row r="11" spans="1:48" x14ac:dyDescent="0.25">
      <c r="A11" s="51" t="s">
        <v>93</v>
      </c>
      <c r="B11">
        <v>43927</v>
      </c>
      <c r="C11">
        <v>7074</v>
      </c>
      <c r="D11" s="52">
        <v>0.13681903245561552</v>
      </c>
      <c r="E11" s="52">
        <v>0.69416828636216377</v>
      </c>
      <c r="F11">
        <v>344452</v>
      </c>
      <c r="G11">
        <v>144800</v>
      </c>
      <c r="H11">
        <v>489252</v>
      </c>
      <c r="I11" s="52">
        <v>0.83236151603498543</v>
      </c>
      <c r="J11" s="52">
        <v>0.80634475218658908</v>
      </c>
      <c r="K11" s="52">
        <v>0.86318096754438411</v>
      </c>
      <c r="L11" s="52">
        <v>0.57818316442223161</v>
      </c>
      <c r="M11" s="62">
        <v>92.57264783580581</v>
      </c>
      <c r="O11" s="56"/>
      <c r="P11" s="57"/>
      <c r="Q11" s="58"/>
      <c r="X11" s="82" t="s">
        <v>125</v>
      </c>
      <c r="Y11" s="52">
        <v>0.74261904761904762</v>
      </c>
      <c r="Z11" s="90">
        <v>3244</v>
      </c>
      <c r="AF11" s="84"/>
      <c r="AG11" s="85"/>
      <c r="AH11" s="86"/>
      <c r="AI11" s="51" t="s">
        <v>93</v>
      </c>
      <c r="AJ11" s="52">
        <v>0.57818316442223161</v>
      </c>
      <c r="AL11" s="51" t="s">
        <v>93</v>
      </c>
      <c r="AM11" s="52">
        <v>0.69416828636216377</v>
      </c>
      <c r="AN11" s="52">
        <v>0.13681903245561552</v>
      </c>
      <c r="AP11" s="51" t="s">
        <v>34</v>
      </c>
      <c r="AQ11">
        <v>9</v>
      </c>
      <c r="AS11" s="82" t="s">
        <v>125</v>
      </c>
      <c r="AT11">
        <v>49</v>
      </c>
      <c r="AU11">
        <v>39</v>
      </c>
      <c r="AV11">
        <v>10</v>
      </c>
    </row>
    <row r="12" spans="1:48" x14ac:dyDescent="0.25">
      <c r="O12" s="56"/>
      <c r="P12" s="57"/>
      <c r="Q12" s="58"/>
      <c r="X12" s="82" t="s">
        <v>126</v>
      </c>
      <c r="Y12" s="52">
        <v>0.70425925925925925</v>
      </c>
      <c r="Z12" s="90">
        <v>2786</v>
      </c>
      <c r="AF12" s="84"/>
      <c r="AG12" s="85"/>
      <c r="AH12" s="86"/>
      <c r="AP12" s="51" t="s">
        <v>93</v>
      </c>
      <c r="AQ12">
        <v>115</v>
      </c>
      <c r="AS12" s="82" t="s">
        <v>126</v>
      </c>
      <c r="AT12">
        <v>42</v>
      </c>
      <c r="AU12">
        <v>38</v>
      </c>
      <c r="AV12">
        <v>4</v>
      </c>
    </row>
    <row r="13" spans="1:48" x14ac:dyDescent="0.25">
      <c r="O13" s="56"/>
      <c r="P13" s="57"/>
      <c r="Q13" s="58"/>
      <c r="X13" s="82" t="s">
        <v>127</v>
      </c>
      <c r="Y13" s="52">
        <v>0.69968253968253968</v>
      </c>
      <c r="Z13" s="90">
        <v>1818</v>
      </c>
      <c r="AF13" s="84"/>
      <c r="AG13" s="85"/>
      <c r="AH13" s="86"/>
      <c r="AS13" s="82" t="s">
        <v>127</v>
      </c>
      <c r="AT13">
        <v>28</v>
      </c>
      <c r="AU13">
        <v>22</v>
      </c>
      <c r="AV13">
        <v>6</v>
      </c>
    </row>
    <row r="14" spans="1:48" x14ac:dyDescent="0.25">
      <c r="O14" s="56"/>
      <c r="P14" s="57"/>
      <c r="Q14" s="58"/>
      <c r="X14" s="51" t="s">
        <v>131</v>
      </c>
      <c r="Y14" s="52">
        <v>0.70571428571428563</v>
      </c>
      <c r="Z14" s="90">
        <v>6330</v>
      </c>
      <c r="AF14" s="84"/>
      <c r="AG14" s="85"/>
      <c r="AH14" s="86"/>
      <c r="AS14" s="51" t="s">
        <v>131</v>
      </c>
    </row>
    <row r="15" spans="1:48" x14ac:dyDescent="0.25">
      <c r="O15" s="56"/>
      <c r="P15" s="57"/>
      <c r="Q15" s="58"/>
      <c r="X15" s="82" t="s">
        <v>124</v>
      </c>
      <c r="Y15" s="52">
        <v>0.7229444444444445</v>
      </c>
      <c r="Z15" s="90">
        <v>2244</v>
      </c>
      <c r="AF15" s="84"/>
      <c r="AG15" s="85"/>
      <c r="AH15" s="86"/>
      <c r="AS15" s="82" t="s">
        <v>124</v>
      </c>
      <c r="AT15">
        <v>35</v>
      </c>
      <c r="AU15">
        <v>29</v>
      </c>
      <c r="AV15">
        <v>6</v>
      </c>
    </row>
    <row r="16" spans="1:48" x14ac:dyDescent="0.25">
      <c r="O16" s="56"/>
      <c r="P16" s="57"/>
      <c r="Q16" s="58"/>
      <c r="X16" s="82" t="s">
        <v>125</v>
      </c>
      <c r="Y16" s="52">
        <v>0.69212797619047617</v>
      </c>
      <c r="Z16" s="90">
        <v>3590</v>
      </c>
      <c r="AF16" s="84"/>
      <c r="AG16" s="85"/>
      <c r="AH16" s="86"/>
      <c r="AS16" s="82" t="s">
        <v>125</v>
      </c>
      <c r="AT16">
        <v>56</v>
      </c>
      <c r="AU16">
        <v>42</v>
      </c>
      <c r="AV16">
        <v>14</v>
      </c>
    </row>
    <row r="17" spans="15:48" x14ac:dyDescent="0.25">
      <c r="O17" s="56"/>
      <c r="P17" s="57"/>
      <c r="Q17" s="58"/>
      <c r="X17" s="82" t="s">
        <v>127</v>
      </c>
      <c r="Y17" s="52">
        <v>0.72825396825396826</v>
      </c>
      <c r="Z17" s="90">
        <v>496</v>
      </c>
      <c r="AF17" s="84"/>
      <c r="AG17" s="85"/>
      <c r="AH17" s="86"/>
      <c r="AS17" s="82" t="s">
        <v>127</v>
      </c>
      <c r="AT17">
        <v>7</v>
      </c>
      <c r="AU17">
        <v>7</v>
      </c>
      <c r="AV17">
        <v>0</v>
      </c>
    </row>
    <row r="18" spans="15:48" x14ac:dyDescent="0.25">
      <c r="O18" s="56"/>
      <c r="P18" s="57"/>
      <c r="Q18" s="58"/>
      <c r="X18" s="51" t="s">
        <v>132</v>
      </c>
      <c r="Y18" s="52">
        <v>0.71409060846560857</v>
      </c>
      <c r="Z18" s="90">
        <v>5341</v>
      </c>
      <c r="AF18" s="84"/>
      <c r="AG18" s="85"/>
      <c r="AH18" s="86"/>
      <c r="AS18" s="51" t="s">
        <v>132</v>
      </c>
    </row>
    <row r="19" spans="15:48" x14ac:dyDescent="0.25">
      <c r="O19" s="56"/>
      <c r="P19" s="57"/>
      <c r="Q19" s="58"/>
      <c r="X19" s="82" t="s">
        <v>124</v>
      </c>
      <c r="Y19" s="52">
        <v>0.70214852607709755</v>
      </c>
      <c r="Z19" s="90">
        <v>3082</v>
      </c>
      <c r="AF19" s="84"/>
      <c r="AG19" s="85"/>
      <c r="AH19" s="86"/>
      <c r="AS19" s="82" t="s">
        <v>124</v>
      </c>
      <c r="AT19">
        <v>49</v>
      </c>
      <c r="AU19">
        <v>38</v>
      </c>
      <c r="AV19">
        <v>11</v>
      </c>
    </row>
    <row r="20" spans="15:48" x14ac:dyDescent="0.25">
      <c r="O20" s="59"/>
      <c r="P20" s="60"/>
      <c r="Q20" s="61"/>
      <c r="X20" s="82" t="s">
        <v>126</v>
      </c>
      <c r="Y20" s="52">
        <v>0.73968253968253972</v>
      </c>
      <c r="Z20" s="90">
        <v>1398</v>
      </c>
      <c r="AF20" s="87"/>
      <c r="AG20" s="88"/>
      <c r="AH20" s="89"/>
      <c r="AS20" s="82" t="s">
        <v>126</v>
      </c>
      <c r="AT20">
        <v>21</v>
      </c>
      <c r="AU20">
        <v>20</v>
      </c>
      <c r="AV20">
        <v>1</v>
      </c>
    </row>
    <row r="21" spans="15:48" x14ac:dyDescent="0.25">
      <c r="X21" s="82" t="s">
        <v>127</v>
      </c>
      <c r="Y21" s="52">
        <v>0.71750000000000003</v>
      </c>
      <c r="Z21" s="90">
        <v>861</v>
      </c>
      <c r="AS21" s="82" t="s">
        <v>127</v>
      </c>
      <c r="AT21">
        <v>14</v>
      </c>
      <c r="AU21">
        <v>13</v>
      </c>
      <c r="AV21">
        <v>1</v>
      </c>
    </row>
    <row r="22" spans="15:48" x14ac:dyDescent="0.25">
      <c r="X22" s="51" t="s">
        <v>128</v>
      </c>
      <c r="Y22" s="52">
        <v>0.68169808201058191</v>
      </c>
      <c r="Z22" s="90">
        <v>10673</v>
      </c>
      <c r="AS22" s="51" t="s">
        <v>128</v>
      </c>
    </row>
    <row r="23" spans="15:48" x14ac:dyDescent="0.25">
      <c r="X23" s="82" t="s">
        <v>124</v>
      </c>
      <c r="Y23" s="52">
        <v>0.67330853174603167</v>
      </c>
      <c r="Z23" s="90">
        <v>3568</v>
      </c>
      <c r="AS23" s="82" t="s">
        <v>124</v>
      </c>
      <c r="AT23">
        <v>56</v>
      </c>
      <c r="AU23">
        <v>40</v>
      </c>
      <c r="AV23">
        <v>16</v>
      </c>
    </row>
    <row r="24" spans="15:48" x14ac:dyDescent="0.25">
      <c r="X24" s="82" t="s">
        <v>125</v>
      </c>
      <c r="Y24" s="52">
        <v>0.70879251700680279</v>
      </c>
      <c r="Z24" s="90">
        <v>3227</v>
      </c>
      <c r="AS24" s="82" t="s">
        <v>125</v>
      </c>
      <c r="AT24">
        <v>49</v>
      </c>
      <c r="AU24">
        <v>41</v>
      </c>
      <c r="AV24">
        <v>8</v>
      </c>
    </row>
    <row r="25" spans="15:48" x14ac:dyDescent="0.25">
      <c r="X25" s="82" t="s">
        <v>126</v>
      </c>
      <c r="Y25" s="52">
        <v>0.66776190476190478</v>
      </c>
      <c r="Z25" s="90">
        <v>2114</v>
      </c>
      <c r="AS25" s="82" t="s">
        <v>126</v>
      </c>
      <c r="AT25">
        <v>35</v>
      </c>
      <c r="AU25">
        <v>33</v>
      </c>
      <c r="AV25">
        <v>2</v>
      </c>
    </row>
    <row r="26" spans="15:48" x14ac:dyDescent="0.25">
      <c r="X26" s="82" t="s">
        <v>127</v>
      </c>
      <c r="Y26" s="52">
        <v>0.6684821428571428</v>
      </c>
      <c r="Z26" s="90">
        <v>1764</v>
      </c>
      <c r="AS26" s="82" t="s">
        <v>127</v>
      </c>
      <c r="AT26">
        <v>28</v>
      </c>
      <c r="AU26">
        <v>22</v>
      </c>
      <c r="AV26">
        <v>6</v>
      </c>
    </row>
    <row r="27" spans="15:48" x14ac:dyDescent="0.25">
      <c r="X27" s="51" t="s">
        <v>135</v>
      </c>
      <c r="Y27" s="52">
        <v>0.6430555555555556</v>
      </c>
      <c r="Z27" s="90">
        <v>463</v>
      </c>
      <c r="AS27" s="51" t="s">
        <v>135</v>
      </c>
    </row>
    <row r="28" spans="15:48" x14ac:dyDescent="0.25">
      <c r="X28" s="82" t="s">
        <v>127</v>
      </c>
      <c r="Y28" s="52">
        <v>0.6430555555555556</v>
      </c>
      <c r="Z28" s="90">
        <v>463</v>
      </c>
      <c r="AS28" s="82" t="s">
        <v>127</v>
      </c>
      <c r="AT28">
        <v>7</v>
      </c>
      <c r="AU28">
        <v>7</v>
      </c>
      <c r="AV28">
        <v>0</v>
      </c>
    </row>
    <row r="29" spans="15:48" x14ac:dyDescent="0.25">
      <c r="AS29" s="51" t="s">
        <v>93</v>
      </c>
      <c r="AT29">
        <v>686</v>
      </c>
      <c r="AU29">
        <v>571</v>
      </c>
      <c r="AV29">
        <v>115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E58D-372B-40D4-9D8A-FA6F341F0C6E}">
  <sheetPr codeName="Sheet3">
    <tabColor rgb="FF8FCFAD"/>
  </sheetPr>
  <dimension ref="A1:AE1500"/>
  <sheetViews>
    <sheetView showGridLines="0" showRowColHeaders="0" zoomScale="80" zoomScaleNormal="80" workbookViewId="0">
      <pane ySplit="2" topLeftCell="A78" activePane="bottomLeft" state="frozen"/>
      <selection pane="bottomLeft" activeCell="D95" sqref="D95"/>
    </sheetView>
  </sheetViews>
  <sheetFormatPr defaultColWidth="0" defaultRowHeight="15" x14ac:dyDescent="0.25"/>
  <cols>
    <col min="1" max="1" width="12.5703125" style="91" customWidth="1"/>
    <col min="2" max="2" width="12.7109375" style="26" customWidth="1"/>
    <col min="3" max="3" width="12.7109375" style="28" customWidth="1"/>
    <col min="4" max="5" width="12.7109375" style="9" customWidth="1"/>
    <col min="6" max="6" width="25.5703125" style="30" customWidth="1"/>
    <col min="7" max="7" width="22.7109375" style="34" customWidth="1"/>
    <col min="8" max="8" width="28.42578125" style="30" bestFit="1" customWidth="1"/>
    <col min="9" max="9" width="28.42578125" style="30" customWidth="1"/>
    <col min="10" max="10" width="20.5703125" style="30" bestFit="1" customWidth="1"/>
    <col min="11" max="11" width="27.7109375" style="9" customWidth="1"/>
    <col min="12" max="12" width="19.28515625" style="48" customWidth="1"/>
    <col min="13" max="13" width="15.28515625" style="48" customWidth="1"/>
    <col min="14" max="14" width="19.140625" style="48" customWidth="1"/>
    <col min="15" max="15" width="16.5703125" style="48" bestFit="1" customWidth="1"/>
    <col min="16" max="16" width="16.5703125" style="48" customWidth="1"/>
    <col min="17" max="17" width="18.85546875" style="48" bestFit="1" customWidth="1"/>
    <col min="18" max="18" width="16.85546875" style="48" customWidth="1"/>
    <col min="19" max="19" width="20" style="48" bestFit="1" customWidth="1"/>
    <col min="20" max="20" width="19.85546875" style="48" bestFit="1" customWidth="1"/>
    <col min="21" max="22" width="16.85546875" style="48" customWidth="1"/>
    <col min="23" max="23" width="15.28515625" style="28" bestFit="1" customWidth="1"/>
    <col min="24" max="24" width="15.140625" style="28" bestFit="1" customWidth="1"/>
    <col min="25" max="25" width="16.5703125" style="28" bestFit="1" customWidth="1"/>
    <col min="26" max="26" width="19.28515625" style="49" bestFit="1" customWidth="1"/>
    <col min="27" max="27" width="14.28515625" style="49" customWidth="1"/>
    <col min="28" max="28" width="12.7109375" style="28" customWidth="1"/>
    <col min="29" max="29" width="1.5703125" style="9" customWidth="1"/>
    <col min="30" max="30" width="12.7109375" style="9" hidden="1" customWidth="1"/>
    <col min="31" max="31" width="0" style="9" hidden="1" customWidth="1"/>
    <col min="32" max="16384" width="12.7109375" style="9" hidden="1"/>
  </cols>
  <sheetData>
    <row r="1" spans="1:28" x14ac:dyDescent="0.25">
      <c r="B1" s="27"/>
      <c r="G1" s="30"/>
      <c r="J1" s="32"/>
      <c r="K1" s="16"/>
      <c r="L1" s="16"/>
      <c r="M1" s="16"/>
      <c r="N1" s="9"/>
      <c r="O1" s="9"/>
      <c r="P1" s="9"/>
      <c r="Q1" s="9"/>
      <c r="R1" s="9"/>
      <c r="S1" s="9"/>
      <c r="T1" s="9"/>
      <c r="U1" s="9"/>
      <c r="V1" s="9"/>
      <c r="W1" s="9"/>
      <c r="X1" s="9"/>
      <c r="Y1" s="9"/>
      <c r="Z1" s="15"/>
      <c r="AA1" s="15"/>
      <c r="AB1" s="9"/>
    </row>
    <row r="2" spans="1:28" ht="19.5" customHeight="1" x14ac:dyDescent="0.2">
      <c r="B2" s="23" t="s">
        <v>14</v>
      </c>
      <c r="C2" s="24" t="s">
        <v>41</v>
      </c>
      <c r="D2" s="24" t="s">
        <v>15</v>
      </c>
      <c r="E2" s="24" t="s">
        <v>16</v>
      </c>
      <c r="F2" s="29" t="s">
        <v>64</v>
      </c>
      <c r="G2" s="29" t="s">
        <v>87</v>
      </c>
      <c r="H2" s="29" t="s">
        <v>88</v>
      </c>
      <c r="I2" s="29" t="s">
        <v>136</v>
      </c>
      <c r="J2" s="29" t="s">
        <v>65</v>
      </c>
      <c r="K2" s="24" t="s">
        <v>47</v>
      </c>
      <c r="L2" s="24" t="s">
        <v>42</v>
      </c>
      <c r="M2" s="24" t="s">
        <v>44</v>
      </c>
      <c r="N2" s="24" t="s">
        <v>43</v>
      </c>
      <c r="O2" s="24" t="s">
        <v>46</v>
      </c>
      <c r="P2" s="24" t="s">
        <v>91</v>
      </c>
      <c r="Q2" s="24" t="s">
        <v>56</v>
      </c>
      <c r="R2" s="24" t="s">
        <v>48</v>
      </c>
      <c r="S2" s="24" t="s">
        <v>49</v>
      </c>
      <c r="T2" s="24" t="s">
        <v>58</v>
      </c>
      <c r="U2" s="24" t="s">
        <v>45</v>
      </c>
      <c r="V2" s="24" t="s">
        <v>60</v>
      </c>
      <c r="W2" s="24" t="s">
        <v>66</v>
      </c>
      <c r="X2" s="24" t="s">
        <v>84</v>
      </c>
      <c r="Y2" s="24" t="s">
        <v>55</v>
      </c>
      <c r="Z2" s="24" t="s">
        <v>54</v>
      </c>
      <c r="AA2" s="24" t="s">
        <v>53</v>
      </c>
      <c r="AB2" s="25" t="s">
        <v>52</v>
      </c>
    </row>
    <row r="3" spans="1:28" x14ac:dyDescent="0.25">
      <c r="A3" s="91" t="str">
        <f t="shared" ref="A3:A34" si="0">IF(AND(B2&lt;&gt;"",B3=""),"New entry---&gt;","")</f>
        <v/>
      </c>
      <c r="B3" s="26">
        <v>44136</v>
      </c>
      <c r="C3" s="28">
        <v>3</v>
      </c>
      <c r="D3" s="9" t="s">
        <v>29</v>
      </c>
      <c r="E3" s="9" t="s">
        <v>20</v>
      </c>
      <c r="F3" s="31">
        <v>7</v>
      </c>
      <c r="G3" s="33">
        <f>IFERROR(VLOOKUP(Production[[#This Row],[Shift]],Database!G:H,2,0),"")</f>
        <v>8</v>
      </c>
      <c r="H3" s="31">
        <v>1</v>
      </c>
      <c r="I3" s="33">
        <f>IFERROR(Production[[#This Row],[Available time (Hrs)]]-Production[[#This Row],[Planned downtime (Hrs)]],"")</f>
        <v>7</v>
      </c>
      <c r="J3" s="33">
        <f>IF(Production[[#This Row],[Available time (Hrs)]]="","",Production[[#This Row],[Available time (Hrs)]]-Production[[#This Row],[Actual Run Time (Hrs)]]-Production[[#This Row],[Planned downtime (Hrs)]])</f>
        <v>0</v>
      </c>
      <c r="K3" s="9" t="s">
        <v>36</v>
      </c>
      <c r="L3" s="41">
        <f>IFERROR(Production[[#This Row],[UPH]]*(Production[[#This Row],[Available time (Hrs)]]-Production[[#This Row],[Planned downtime (Hrs)]]),"")</f>
        <v>720</v>
      </c>
      <c r="M3" s="42">
        <v>463</v>
      </c>
      <c r="N3" s="42">
        <v>20</v>
      </c>
      <c r="O3" s="43">
        <v>1</v>
      </c>
      <c r="P3" s="44">
        <f>IFERROR(Production[[#This Row],[Defect Quantity]]/(Production[[#This Row],[Defect Quantity]]+Production[[#This Row],[Ok Quantity]]),"")</f>
        <v>4.1407867494824016E-2</v>
      </c>
      <c r="Q3" s="44">
        <f>IFERROR(IF(Production[[#This Row],[Ok Quantity]]="","",Production[[#This Row],[Ok Quantity]]/Production[[#This Row],[Target Quantity]]),"")</f>
        <v>0.6430555555555556</v>
      </c>
      <c r="R3" s="41">
        <f>IFERROR(VLOOKUP(Production[[#This Row],[Product]],Database!B:E,4,0)*Production[[#This Row],[Defect Quantity]],"")</f>
        <v>1000</v>
      </c>
      <c r="S3" s="41">
        <f>IFERROR(VLOOKUP(Production[[#This Row],[Line]],Database!L:M,2,0)*(Production[[#This Row],[Lose Time (Hrs)]]),"")</f>
        <v>0</v>
      </c>
      <c r="T3" s="41">
        <f>IFERROR(Production[[#This Row],[Lose Time Cost]]+Production[[#This Row],[Defect Cost]],"")</f>
        <v>1000</v>
      </c>
      <c r="U3" s="45">
        <f>IFERROR(3600/VLOOKUP(Production[[#This Row],[Product]],Database!B:E,2,0),"")</f>
        <v>102.85714285714286</v>
      </c>
      <c r="V3" s="45">
        <f>IFERROR(Production[[#This Row],[UPH]]/VLOOKUP(Production[[#This Row],[Product]],Database!B:E,3,0),"")</f>
        <v>34.285714285714285</v>
      </c>
      <c r="W3" s="46">
        <f>IFERROR(Production[[#This Row],[Actual Run Time (Hrs)]]/Production[[#This Row],[Breakdowns]],"")</f>
        <v>7</v>
      </c>
      <c r="X3" s="46">
        <f>IFERROR(Production[[#This Row],[Lose Time (Hrs)]]/Production[[#This Row],[Breakdowns]],"")</f>
        <v>0</v>
      </c>
      <c r="Y3" s="44">
        <f>IFERROR(IF(Production[[#This Row],[Actual Run Time (Hrs)]]="","",Production[[#This Row],[Actual Run Time (Hrs)]]/(Production[[#This Row],[Available time (Hrs)]]-Production[[#This Row],[Planned downtime (Hrs)]])),"")</f>
        <v>1</v>
      </c>
      <c r="Z3" s="47">
        <f>IFERROR((IF(Production[[#This Row],[Ok Quantity]]="","",Production[[#This Row],[Ok Quantity]]+Production[[#This Row],[Defect Quantity]])/Production[[#This Row],[Target Quantity]]),"")</f>
        <v>0.67083333333333328</v>
      </c>
      <c r="AA3" s="47">
        <f>IFERROR(Production[[#This Row],[Ok Quantity]]/(Production[[#This Row],[Ok Quantity]]+Production[[#This Row],[Defect Quantity]]),"")</f>
        <v>0.95859213250517594</v>
      </c>
      <c r="AB3" s="44">
        <f>IFERROR(Production[[#This Row],[Quality %]]*Production[[#This Row],[Performance %]]*Production[[#This Row],[Availability %]],"")</f>
        <v>0.64305555555555549</v>
      </c>
    </row>
    <row r="4" spans="1:28" x14ac:dyDescent="0.25">
      <c r="A4" s="91" t="str">
        <f t="shared" si="0"/>
        <v/>
      </c>
      <c r="B4" s="26">
        <v>42687</v>
      </c>
      <c r="C4" s="28">
        <v>2</v>
      </c>
      <c r="D4" s="9" t="s">
        <v>51</v>
      </c>
      <c r="E4" s="9" t="s">
        <v>20</v>
      </c>
      <c r="F4" s="31">
        <v>4</v>
      </c>
      <c r="G4" s="33">
        <f>IFERROR(VLOOKUP(Production[[#This Row],[Shift]],Database!G:H,2,0),"")</f>
        <v>8</v>
      </c>
      <c r="H4" s="31">
        <v>1</v>
      </c>
      <c r="I4" s="33">
        <f>IFERROR(Production[[#This Row],[Available time (Hrs)]]-Production[[#This Row],[Planned downtime (Hrs)]],"")</f>
        <v>7</v>
      </c>
      <c r="J4" s="33">
        <f>IF(Production[[#This Row],[Available time (Hrs)]]="","",Production[[#This Row],[Available time (Hrs)]]-Production[[#This Row],[Actual Run Time (Hrs)]]-Production[[#This Row],[Planned downtime (Hrs)]])</f>
        <v>3</v>
      </c>
      <c r="K4" s="9" t="s">
        <v>36</v>
      </c>
      <c r="L4" s="41">
        <f>IFERROR(Production[[#This Row],[UPH]]*(Production[[#This Row],[Available time (Hrs)]]-Production[[#This Row],[Planned downtime (Hrs)]]),"")</f>
        <v>720</v>
      </c>
      <c r="M4" s="42">
        <v>444</v>
      </c>
      <c r="N4" s="42">
        <v>74</v>
      </c>
      <c r="O4" s="43">
        <v>2</v>
      </c>
      <c r="P4" s="44">
        <f>IFERROR(Production[[#This Row],[Defect Quantity]]/(Production[[#This Row],[Defect Quantity]]+Production[[#This Row],[Ok Quantity]]),"")</f>
        <v>0.14285714285714285</v>
      </c>
      <c r="Q4" s="44">
        <f>IFERROR(IF(Production[[#This Row],[Ok Quantity]]="","",Production[[#This Row],[Ok Quantity]]/Production[[#This Row],[Target Quantity]]),"")</f>
        <v>0.6166666666666667</v>
      </c>
      <c r="R4" s="41">
        <f>IFERROR(VLOOKUP(Production[[#This Row],[Product]],Database!B:E,4,0)*Production[[#This Row],[Defect Quantity]],"")</f>
        <v>3700</v>
      </c>
      <c r="S4" s="41">
        <f>IFERROR(VLOOKUP(Production[[#This Row],[Line]],Database!L:M,2,0)*(Production[[#This Row],[Lose Time (Hrs)]]),"")</f>
        <v>3900</v>
      </c>
      <c r="T4" s="41">
        <f>IFERROR(Production[[#This Row],[Lose Time Cost]]+Production[[#This Row],[Defect Cost]],"")</f>
        <v>7600</v>
      </c>
      <c r="U4" s="45">
        <f>IFERROR(3600/VLOOKUP(Production[[#This Row],[Product]],Database!B:E,2,0),"")</f>
        <v>102.85714285714286</v>
      </c>
      <c r="V4" s="45">
        <f>IFERROR(Production[[#This Row],[UPH]]/VLOOKUP(Production[[#This Row],[Product]],Database!B:E,3,0),"")</f>
        <v>34.285714285714285</v>
      </c>
      <c r="W4" s="46">
        <f>IFERROR(Production[[#This Row],[Actual Run Time (Hrs)]]/Production[[#This Row],[Breakdowns]],"")</f>
        <v>2</v>
      </c>
      <c r="X4" s="46">
        <f>IFERROR(Production[[#This Row],[Lose Time (Hrs)]]/Production[[#This Row],[Breakdowns]],"")</f>
        <v>1.5</v>
      </c>
      <c r="Y4" s="44">
        <f>IFERROR(IF(Production[[#This Row],[Actual Run Time (Hrs)]]="","",Production[[#This Row],[Actual Run Time (Hrs)]]/(Production[[#This Row],[Available time (Hrs)]]-Production[[#This Row],[Planned downtime (Hrs)]])),"")</f>
        <v>0.5714285714285714</v>
      </c>
      <c r="Z4" s="47">
        <f>IFERROR((IF(Production[[#This Row],[Ok Quantity]]="","",Production[[#This Row],[Ok Quantity]]+Production[[#This Row],[Defect Quantity]])/Production[[#This Row],[Target Quantity]]),"")</f>
        <v>0.71944444444444444</v>
      </c>
      <c r="AA4" s="47">
        <f>IFERROR(Production[[#This Row],[Ok Quantity]]/(Production[[#This Row],[Ok Quantity]]+Production[[#This Row],[Defect Quantity]]),"")</f>
        <v>0.8571428571428571</v>
      </c>
      <c r="AB4" s="44">
        <f>IFERROR(Production[[#This Row],[Quality %]]*Production[[#This Row],[Performance %]]*Production[[#This Row],[Availability %]],"")</f>
        <v>0.35238095238095229</v>
      </c>
    </row>
    <row r="5" spans="1:28" x14ac:dyDescent="0.25">
      <c r="A5" s="91" t="str">
        <f t="shared" si="0"/>
        <v/>
      </c>
      <c r="B5" s="26">
        <v>42578</v>
      </c>
      <c r="C5" s="28">
        <v>2</v>
      </c>
      <c r="D5" s="9" t="s">
        <v>28</v>
      </c>
      <c r="E5" s="9" t="s">
        <v>22</v>
      </c>
      <c r="F5" s="31">
        <v>6</v>
      </c>
      <c r="G5" s="33">
        <f>IFERROR(VLOOKUP(Production[[#This Row],[Shift]],Database!G:H,2,0),"")</f>
        <v>8</v>
      </c>
      <c r="H5" s="31">
        <v>1</v>
      </c>
      <c r="I5" s="33">
        <f>IFERROR(Production[[#This Row],[Available time (Hrs)]]-Production[[#This Row],[Planned downtime (Hrs)]],"")</f>
        <v>7</v>
      </c>
      <c r="J5" s="33">
        <f>IF(Production[[#This Row],[Available time (Hrs)]]="","",Production[[#This Row],[Available time (Hrs)]]-Production[[#This Row],[Actual Run Time (Hrs)]]-Production[[#This Row],[Planned downtime (Hrs)]])</f>
        <v>1</v>
      </c>
      <c r="K5" s="9" t="s">
        <v>68</v>
      </c>
      <c r="L5" s="41">
        <f>IFERROR(Production[[#This Row],[UPH]]*(Production[[#This Row],[Available time (Hrs)]]-Production[[#This Row],[Planned downtime (Hrs)]]),"")</f>
        <v>681.08108108108104</v>
      </c>
      <c r="M5" s="42">
        <v>443</v>
      </c>
      <c r="N5" s="42">
        <v>74</v>
      </c>
      <c r="O5" s="43">
        <v>1</v>
      </c>
      <c r="P5" s="44">
        <f>IFERROR(Production[[#This Row],[Defect Quantity]]/(Production[[#This Row],[Defect Quantity]]+Production[[#This Row],[Ok Quantity]]),"")</f>
        <v>0.14313346228239845</v>
      </c>
      <c r="Q5" s="44">
        <f>IFERROR(IF(Production[[#This Row],[Ok Quantity]]="","",Production[[#This Row],[Ok Quantity]]/Production[[#This Row],[Target Quantity]]),"")</f>
        <v>0.65043650793650798</v>
      </c>
      <c r="R5" s="41">
        <f>IFERROR(VLOOKUP(Production[[#This Row],[Product]],Database!B:E,4,0)*Production[[#This Row],[Defect Quantity]],"")</f>
        <v>4070</v>
      </c>
      <c r="S5" s="41">
        <f>IFERROR(VLOOKUP(Production[[#This Row],[Line]],Database!L:M,2,0)*(Production[[#This Row],[Lose Time (Hrs)]]),"")</f>
        <v>1200</v>
      </c>
      <c r="T5" s="41">
        <f>IFERROR(Production[[#This Row],[Lose Time Cost]]+Production[[#This Row],[Defect Cost]],"")</f>
        <v>5270</v>
      </c>
      <c r="U5" s="45">
        <f>IFERROR(3600/VLOOKUP(Production[[#This Row],[Product]],Database!B:E,2,0),"")</f>
        <v>97.297297297297291</v>
      </c>
      <c r="V5" s="45">
        <f>IFERROR(Production[[#This Row],[UPH]]/VLOOKUP(Production[[#This Row],[Product]],Database!B:E,3,0),"")</f>
        <v>32.432432432432428</v>
      </c>
      <c r="W5" s="46">
        <f>IFERROR(Production[[#This Row],[Actual Run Time (Hrs)]]/Production[[#This Row],[Breakdowns]],"")</f>
        <v>6</v>
      </c>
      <c r="X5" s="46">
        <f>IFERROR(Production[[#This Row],[Lose Time (Hrs)]]/Production[[#This Row],[Breakdowns]],"")</f>
        <v>1</v>
      </c>
      <c r="Y5" s="44">
        <f>IFERROR(IF(Production[[#This Row],[Actual Run Time (Hrs)]]="","",Production[[#This Row],[Actual Run Time (Hrs)]]/(Production[[#This Row],[Available time (Hrs)]]-Production[[#This Row],[Planned downtime (Hrs)]])),"")</f>
        <v>0.8571428571428571</v>
      </c>
      <c r="Z5" s="47">
        <f>IFERROR((IF(Production[[#This Row],[Ok Quantity]]="","",Production[[#This Row],[Ok Quantity]]+Production[[#This Row],[Defect Quantity]])/Production[[#This Row],[Target Quantity]]),"")</f>
        <v>0.75908730158730164</v>
      </c>
      <c r="AA5" s="47">
        <f>IFERROR(Production[[#This Row],[Ok Quantity]]/(Production[[#This Row],[Ok Quantity]]+Production[[#This Row],[Defect Quantity]]),"")</f>
        <v>0.85686653771760157</v>
      </c>
      <c r="AB5" s="44">
        <f>IFERROR(Production[[#This Row],[Quality %]]*Production[[#This Row],[Performance %]]*Production[[#This Row],[Availability %]],"")</f>
        <v>0.55751700680272109</v>
      </c>
    </row>
    <row r="6" spans="1:28" x14ac:dyDescent="0.25">
      <c r="A6" s="91" t="str">
        <f t="shared" si="0"/>
        <v/>
      </c>
      <c r="B6" s="26">
        <v>42711</v>
      </c>
      <c r="C6" s="28">
        <v>3</v>
      </c>
      <c r="D6" s="9" t="s">
        <v>51</v>
      </c>
      <c r="E6" s="9" t="s">
        <v>19</v>
      </c>
      <c r="F6" s="31">
        <v>6</v>
      </c>
      <c r="G6" s="33">
        <f>IFERROR(VLOOKUP(Production[[#This Row],[Shift]],Database!G:H,2,0),"")</f>
        <v>8</v>
      </c>
      <c r="H6" s="31">
        <v>1</v>
      </c>
      <c r="I6" s="33">
        <f>IFERROR(Production[[#This Row],[Available time (Hrs)]]-Production[[#This Row],[Planned downtime (Hrs)]],"")</f>
        <v>7</v>
      </c>
      <c r="J6" s="33">
        <f>IF(Production[[#This Row],[Available time (Hrs)]]="","",Production[[#This Row],[Available time (Hrs)]]-Production[[#This Row],[Actual Run Time (Hrs)]]-Production[[#This Row],[Planned downtime (Hrs)]])</f>
        <v>1</v>
      </c>
      <c r="K6" s="9" t="s">
        <v>35</v>
      </c>
      <c r="L6" s="41">
        <f>IFERROR(Production[[#This Row],[UPH]]*(Production[[#This Row],[Available time (Hrs)]]-Production[[#This Row],[Planned downtime (Hrs)]]),"")</f>
        <v>630</v>
      </c>
      <c r="M6" s="42">
        <v>470</v>
      </c>
      <c r="N6" s="42">
        <v>58</v>
      </c>
      <c r="O6" s="43">
        <v>1</v>
      </c>
      <c r="P6" s="44">
        <f>IFERROR(Production[[#This Row],[Defect Quantity]]/(Production[[#This Row],[Defect Quantity]]+Production[[#This Row],[Ok Quantity]]),"")</f>
        <v>0.10984848484848485</v>
      </c>
      <c r="Q6" s="44">
        <f>IFERROR(IF(Production[[#This Row],[Ok Quantity]]="","",Production[[#This Row],[Ok Quantity]]/Production[[#This Row],[Target Quantity]]),"")</f>
        <v>0.74603174603174605</v>
      </c>
      <c r="R6" s="41">
        <f>IFERROR(VLOOKUP(Production[[#This Row],[Product]],Database!B:E,4,0)*Production[[#This Row],[Defect Quantity]],"")</f>
        <v>3480</v>
      </c>
      <c r="S6" s="41">
        <f>IFERROR(VLOOKUP(Production[[#This Row],[Line]],Database!L:M,2,0)*(Production[[#This Row],[Lose Time (Hrs)]]),"")</f>
        <v>1300</v>
      </c>
      <c r="T6" s="41">
        <f>IFERROR(Production[[#This Row],[Lose Time Cost]]+Production[[#This Row],[Defect Cost]],"")</f>
        <v>4780</v>
      </c>
      <c r="U6" s="45">
        <f>IFERROR(3600/VLOOKUP(Production[[#This Row],[Product]],Database!B:E,2,0),"")</f>
        <v>90</v>
      </c>
      <c r="V6" s="45">
        <f>IFERROR(Production[[#This Row],[UPH]]/VLOOKUP(Production[[#This Row],[Product]],Database!B:E,3,0),"")</f>
        <v>22.5</v>
      </c>
      <c r="W6" s="46">
        <f>IFERROR(Production[[#This Row],[Actual Run Time (Hrs)]]/Production[[#This Row],[Breakdowns]],"")</f>
        <v>6</v>
      </c>
      <c r="X6" s="46">
        <f>IFERROR(Production[[#This Row],[Lose Time (Hrs)]]/Production[[#This Row],[Breakdowns]],"")</f>
        <v>1</v>
      </c>
      <c r="Y6" s="44">
        <f>IFERROR(IF(Production[[#This Row],[Actual Run Time (Hrs)]]="","",Production[[#This Row],[Actual Run Time (Hrs)]]/(Production[[#This Row],[Available time (Hrs)]]-Production[[#This Row],[Planned downtime (Hrs)]])),"")</f>
        <v>0.8571428571428571</v>
      </c>
      <c r="Z6" s="47">
        <f>IFERROR((IF(Production[[#This Row],[Ok Quantity]]="","",Production[[#This Row],[Ok Quantity]]+Production[[#This Row],[Defect Quantity]])/Production[[#This Row],[Target Quantity]]),"")</f>
        <v>0.83809523809523812</v>
      </c>
      <c r="AA6" s="47">
        <f>IFERROR(Production[[#This Row],[Ok Quantity]]/(Production[[#This Row],[Ok Quantity]]+Production[[#This Row],[Defect Quantity]]),"")</f>
        <v>0.89015151515151514</v>
      </c>
      <c r="AB6" s="44">
        <f>IFERROR(Production[[#This Row],[Quality %]]*Production[[#This Row],[Performance %]]*Production[[#This Row],[Availability %]],"")</f>
        <v>0.6394557823129251</v>
      </c>
    </row>
    <row r="7" spans="1:28" x14ac:dyDescent="0.25">
      <c r="A7" s="91" t="str">
        <f t="shared" si="0"/>
        <v/>
      </c>
      <c r="B7" s="26">
        <v>43546</v>
      </c>
      <c r="C7" s="28">
        <v>3</v>
      </c>
      <c r="D7" s="9" t="s">
        <v>51</v>
      </c>
      <c r="E7" s="9" t="s">
        <v>20</v>
      </c>
      <c r="F7" s="31">
        <v>4</v>
      </c>
      <c r="G7" s="33">
        <f>IFERROR(VLOOKUP(Production[[#This Row],[Shift]],Database!G:H,2,0),"")</f>
        <v>8</v>
      </c>
      <c r="H7" s="31">
        <v>1</v>
      </c>
      <c r="I7" s="33">
        <f>IFERROR(Production[[#This Row],[Available time (Hrs)]]-Production[[#This Row],[Planned downtime (Hrs)]],"")</f>
        <v>7</v>
      </c>
      <c r="J7" s="33">
        <f>IF(Production[[#This Row],[Available time (Hrs)]]="","",Production[[#This Row],[Available time (Hrs)]]-Production[[#This Row],[Actual Run Time (Hrs)]]-Production[[#This Row],[Planned downtime (Hrs)]])</f>
        <v>3</v>
      </c>
      <c r="K7" s="9" t="s">
        <v>37</v>
      </c>
      <c r="L7" s="41">
        <f>IFERROR(Production[[#This Row],[UPH]]*(Production[[#This Row],[Available time (Hrs)]]-Production[[#This Row],[Planned downtime (Hrs)]]),"")</f>
        <v>720</v>
      </c>
      <c r="M7" s="42">
        <v>466</v>
      </c>
      <c r="N7" s="42">
        <v>65</v>
      </c>
      <c r="O7" s="43">
        <v>3</v>
      </c>
      <c r="P7" s="44">
        <f>IFERROR(Production[[#This Row],[Defect Quantity]]/(Production[[#This Row],[Defect Quantity]]+Production[[#This Row],[Ok Quantity]]),"")</f>
        <v>0.1224105461393597</v>
      </c>
      <c r="Q7" s="44">
        <f>IFERROR(IF(Production[[#This Row],[Ok Quantity]]="","",Production[[#This Row],[Ok Quantity]]/Production[[#This Row],[Target Quantity]]),"")</f>
        <v>0.64722222222222225</v>
      </c>
      <c r="R7" s="41">
        <f>IFERROR(VLOOKUP(Production[[#This Row],[Product]],Database!B:E,4,0)*Production[[#This Row],[Defect Quantity]],"")</f>
        <v>3250</v>
      </c>
      <c r="S7" s="41">
        <f>IFERROR(VLOOKUP(Production[[#This Row],[Line]],Database!L:M,2,0)*(Production[[#This Row],[Lose Time (Hrs)]]),"")</f>
        <v>3900</v>
      </c>
      <c r="T7" s="41">
        <f>IFERROR(Production[[#This Row],[Lose Time Cost]]+Production[[#This Row],[Defect Cost]],"")</f>
        <v>7150</v>
      </c>
      <c r="U7" s="45">
        <f>IFERROR(3600/VLOOKUP(Production[[#This Row],[Product]],Database!B:E,2,0),"")</f>
        <v>102.85714285714286</v>
      </c>
      <c r="V7" s="45">
        <f>IFERROR(Production[[#This Row],[UPH]]/VLOOKUP(Production[[#This Row],[Product]],Database!B:E,3,0),"")</f>
        <v>34.285714285714285</v>
      </c>
      <c r="W7" s="46">
        <f>IFERROR(Production[[#This Row],[Actual Run Time (Hrs)]]/Production[[#This Row],[Breakdowns]],"")</f>
        <v>1.3333333333333333</v>
      </c>
      <c r="X7" s="46">
        <f>IFERROR(Production[[#This Row],[Lose Time (Hrs)]]/Production[[#This Row],[Breakdowns]],"")</f>
        <v>1</v>
      </c>
      <c r="Y7" s="44">
        <f>IFERROR(IF(Production[[#This Row],[Actual Run Time (Hrs)]]="","",Production[[#This Row],[Actual Run Time (Hrs)]]/(Production[[#This Row],[Available time (Hrs)]]-Production[[#This Row],[Planned downtime (Hrs)]])),"")</f>
        <v>0.5714285714285714</v>
      </c>
      <c r="Z7" s="47">
        <f>IFERROR((IF(Production[[#This Row],[Ok Quantity]]="","",Production[[#This Row],[Ok Quantity]]+Production[[#This Row],[Defect Quantity]])/Production[[#This Row],[Target Quantity]]),"")</f>
        <v>0.73750000000000004</v>
      </c>
      <c r="AA7" s="47">
        <f>IFERROR(Production[[#This Row],[Ok Quantity]]/(Production[[#This Row],[Ok Quantity]]+Production[[#This Row],[Defect Quantity]]),"")</f>
        <v>0.87758945386064036</v>
      </c>
      <c r="AB7" s="44">
        <f>IFERROR(Production[[#This Row],[Quality %]]*Production[[#This Row],[Performance %]]*Production[[#This Row],[Availability %]],"")</f>
        <v>0.36984126984126986</v>
      </c>
    </row>
    <row r="8" spans="1:28" x14ac:dyDescent="0.25">
      <c r="A8" s="91" t="str">
        <f t="shared" si="0"/>
        <v/>
      </c>
      <c r="B8" s="26">
        <v>42299</v>
      </c>
      <c r="C8" s="28">
        <v>2</v>
      </c>
      <c r="D8" s="9" t="s">
        <v>27</v>
      </c>
      <c r="E8" s="9" t="s">
        <v>22</v>
      </c>
      <c r="F8" s="31">
        <v>7</v>
      </c>
      <c r="G8" s="33">
        <f>IFERROR(VLOOKUP(Production[[#This Row],[Shift]],Database!G:H,2,0),"")</f>
        <v>8</v>
      </c>
      <c r="H8" s="31">
        <v>1</v>
      </c>
      <c r="I8" s="33">
        <f>IFERROR(Production[[#This Row],[Available time (Hrs)]]-Production[[#This Row],[Planned downtime (Hrs)]],"")</f>
        <v>7</v>
      </c>
      <c r="J8" s="33">
        <f>IF(Production[[#This Row],[Available time (Hrs)]]="","",Production[[#This Row],[Available time (Hrs)]]-Production[[#This Row],[Actual Run Time (Hrs)]]-Production[[#This Row],[Planned downtime (Hrs)]])</f>
        <v>0</v>
      </c>
      <c r="L8" s="41">
        <f>IFERROR(Production[[#This Row],[UPH]]*(Production[[#This Row],[Available time (Hrs)]]-Production[[#This Row],[Planned downtime (Hrs)]]),"")</f>
        <v>681.08108108108104</v>
      </c>
      <c r="M8" s="42">
        <v>499</v>
      </c>
      <c r="N8" s="42">
        <v>100</v>
      </c>
      <c r="O8" s="43">
        <v>0</v>
      </c>
      <c r="P8" s="44">
        <f>IFERROR(Production[[#This Row],[Defect Quantity]]/(Production[[#This Row],[Defect Quantity]]+Production[[#This Row],[Ok Quantity]]),"")</f>
        <v>0.1669449081803005</v>
      </c>
      <c r="Q8" s="44">
        <f>IFERROR(IF(Production[[#This Row],[Ok Quantity]]="","",Production[[#This Row],[Ok Quantity]]/Production[[#This Row],[Target Quantity]]),"")</f>
        <v>0.73265873015873018</v>
      </c>
      <c r="R8" s="41">
        <f>IFERROR(VLOOKUP(Production[[#This Row],[Product]],Database!B:E,4,0)*Production[[#This Row],[Defect Quantity]],"")</f>
        <v>5500</v>
      </c>
      <c r="S8" s="41">
        <f>IFERROR(VLOOKUP(Production[[#This Row],[Line]],Database!L:M,2,0)*(Production[[#This Row],[Lose Time (Hrs)]]),"")</f>
        <v>0</v>
      </c>
      <c r="T8" s="41">
        <f>IFERROR(Production[[#This Row],[Lose Time Cost]]+Production[[#This Row],[Defect Cost]],"")</f>
        <v>5500</v>
      </c>
      <c r="U8" s="45">
        <f>IFERROR(3600/VLOOKUP(Production[[#This Row],[Product]],Database!B:E,2,0),"")</f>
        <v>97.297297297297291</v>
      </c>
      <c r="V8" s="45">
        <f>IFERROR(Production[[#This Row],[UPH]]/VLOOKUP(Production[[#This Row],[Product]],Database!B:E,3,0),"")</f>
        <v>32.432432432432428</v>
      </c>
      <c r="W8" s="46" t="str">
        <f>IFERROR(Production[[#This Row],[Actual Run Time (Hrs)]]/Production[[#This Row],[Breakdowns]],"")</f>
        <v/>
      </c>
      <c r="X8" s="46" t="str">
        <f>IFERROR(Production[[#This Row],[Lose Time (Hrs)]]/Production[[#This Row],[Breakdowns]],"")</f>
        <v/>
      </c>
      <c r="Y8" s="44">
        <f>IFERROR(IF(Production[[#This Row],[Actual Run Time (Hrs)]]="","",Production[[#This Row],[Actual Run Time (Hrs)]]/(Production[[#This Row],[Available time (Hrs)]]-Production[[#This Row],[Planned downtime (Hrs)]])),"")</f>
        <v>1</v>
      </c>
      <c r="Z8" s="47">
        <f>IFERROR((IF(Production[[#This Row],[Ok Quantity]]="","",Production[[#This Row],[Ok Quantity]]+Production[[#This Row],[Defect Quantity]])/Production[[#This Row],[Target Quantity]]),"")</f>
        <v>0.87948412698412703</v>
      </c>
      <c r="AA8" s="47">
        <f>IFERROR(Production[[#This Row],[Ok Quantity]]/(Production[[#This Row],[Ok Quantity]]+Production[[#This Row],[Defect Quantity]]),"")</f>
        <v>0.8330550918196995</v>
      </c>
      <c r="AB8" s="44">
        <f>IFERROR(Production[[#This Row],[Quality %]]*Production[[#This Row],[Performance %]]*Production[[#This Row],[Availability %]],"")</f>
        <v>0.73265873015873018</v>
      </c>
    </row>
    <row r="9" spans="1:28" x14ac:dyDescent="0.25">
      <c r="A9" s="91" t="str">
        <f t="shared" si="0"/>
        <v/>
      </c>
      <c r="B9" s="26">
        <v>42060</v>
      </c>
      <c r="C9" s="28">
        <v>1</v>
      </c>
      <c r="D9" s="9" t="s">
        <v>27</v>
      </c>
      <c r="E9" s="9" t="s">
        <v>21</v>
      </c>
      <c r="F9" s="31">
        <v>4</v>
      </c>
      <c r="G9" s="33">
        <f>IFERROR(VLOOKUP(Production[[#This Row],[Shift]],Database!G:H,2,0),"")</f>
        <v>8</v>
      </c>
      <c r="H9" s="31">
        <v>1</v>
      </c>
      <c r="I9" s="33">
        <f>IFERROR(Production[[#This Row],[Available time (Hrs)]]-Production[[#This Row],[Planned downtime (Hrs)]],"")</f>
        <v>7</v>
      </c>
      <c r="J9" s="33">
        <f>IF(Production[[#This Row],[Available time (Hrs)]]="","",Production[[#This Row],[Available time (Hrs)]]-Production[[#This Row],[Actual Run Time (Hrs)]]-Production[[#This Row],[Planned downtime (Hrs)]])</f>
        <v>3</v>
      </c>
      <c r="K9" s="9" t="s">
        <v>37</v>
      </c>
      <c r="L9" s="41">
        <f>IFERROR(Production[[#This Row],[UPH]]*(Production[[#This Row],[Available time (Hrs)]]-Production[[#This Row],[Planned downtime (Hrs)]]),"")</f>
        <v>630</v>
      </c>
      <c r="M9" s="42">
        <v>450</v>
      </c>
      <c r="N9" s="42">
        <v>120</v>
      </c>
      <c r="O9" s="43">
        <v>1</v>
      </c>
      <c r="P9" s="44">
        <f>IFERROR(Production[[#This Row],[Defect Quantity]]/(Production[[#This Row],[Defect Quantity]]+Production[[#This Row],[Ok Quantity]]),"")</f>
        <v>0.21052631578947367</v>
      </c>
      <c r="Q9" s="44">
        <f>IFERROR(IF(Production[[#This Row],[Ok Quantity]]="","",Production[[#This Row],[Ok Quantity]]/Production[[#This Row],[Target Quantity]]),"")</f>
        <v>0.7142857142857143</v>
      </c>
      <c r="R9" s="41">
        <f>IFERROR(VLOOKUP(Production[[#This Row],[Product]],Database!B:E,4,0)*Production[[#This Row],[Defect Quantity]],"")</f>
        <v>4800</v>
      </c>
      <c r="S9" s="41">
        <f>IFERROR(VLOOKUP(Production[[#This Row],[Line]],Database!L:M,2,0)*(Production[[#This Row],[Lose Time (Hrs)]]),"")</f>
        <v>3000</v>
      </c>
      <c r="T9" s="41">
        <f>IFERROR(Production[[#This Row],[Lose Time Cost]]+Production[[#This Row],[Defect Cost]],"")</f>
        <v>7800</v>
      </c>
      <c r="U9" s="45">
        <f>IFERROR(3600/VLOOKUP(Production[[#This Row],[Product]],Database!B:E,2,0),"")</f>
        <v>90</v>
      </c>
      <c r="V9" s="45">
        <f>IFERROR(Production[[#This Row],[UPH]]/VLOOKUP(Production[[#This Row],[Product]],Database!B:E,3,0),"")</f>
        <v>30</v>
      </c>
      <c r="W9" s="46">
        <f>IFERROR(Production[[#This Row],[Actual Run Time (Hrs)]]/Production[[#This Row],[Breakdowns]],"")</f>
        <v>4</v>
      </c>
      <c r="X9" s="46">
        <f>IFERROR(Production[[#This Row],[Lose Time (Hrs)]]/Production[[#This Row],[Breakdowns]],"")</f>
        <v>3</v>
      </c>
      <c r="Y9" s="44">
        <f>IFERROR(IF(Production[[#This Row],[Actual Run Time (Hrs)]]="","",Production[[#This Row],[Actual Run Time (Hrs)]]/(Production[[#This Row],[Available time (Hrs)]]-Production[[#This Row],[Planned downtime (Hrs)]])),"")</f>
        <v>0.5714285714285714</v>
      </c>
      <c r="Z9" s="47">
        <f>IFERROR((IF(Production[[#This Row],[Ok Quantity]]="","",Production[[#This Row],[Ok Quantity]]+Production[[#This Row],[Defect Quantity]])/Production[[#This Row],[Target Quantity]]),"")</f>
        <v>0.90476190476190477</v>
      </c>
      <c r="AA9" s="47">
        <f>IFERROR(Production[[#This Row],[Ok Quantity]]/(Production[[#This Row],[Ok Quantity]]+Production[[#This Row],[Defect Quantity]]),"")</f>
        <v>0.78947368421052633</v>
      </c>
      <c r="AB9" s="44">
        <f>IFERROR(Production[[#This Row],[Quality %]]*Production[[#This Row],[Performance %]]*Production[[#This Row],[Availability %]],"")</f>
        <v>0.40816326530612246</v>
      </c>
    </row>
    <row r="10" spans="1:28" x14ac:dyDescent="0.25">
      <c r="A10" s="91" t="str">
        <f t="shared" si="0"/>
        <v/>
      </c>
      <c r="B10" s="26">
        <v>42022</v>
      </c>
      <c r="C10" s="28">
        <v>1</v>
      </c>
      <c r="D10" s="9" t="s">
        <v>29</v>
      </c>
      <c r="E10" s="9" t="s">
        <v>25</v>
      </c>
      <c r="F10" s="31">
        <v>7</v>
      </c>
      <c r="G10" s="33">
        <f>IFERROR(VLOOKUP(Production[[#This Row],[Shift]],Database!G:H,2,0),"")</f>
        <v>8</v>
      </c>
      <c r="H10" s="31">
        <v>1</v>
      </c>
      <c r="I10" s="33">
        <f>IFERROR(Production[[#This Row],[Available time (Hrs)]]-Production[[#This Row],[Planned downtime (Hrs)]],"")</f>
        <v>7</v>
      </c>
      <c r="J10" s="33">
        <f>IF(Production[[#This Row],[Available time (Hrs)]]="","",Production[[#This Row],[Available time (Hrs)]]-Production[[#This Row],[Actual Run Time (Hrs)]]-Production[[#This Row],[Planned downtime (Hrs)]])</f>
        <v>0</v>
      </c>
      <c r="L10" s="41">
        <f>IFERROR(Production[[#This Row],[UPH]]*(Production[[#This Row],[Available time (Hrs)]]-Production[[#This Row],[Planned downtime (Hrs)]]),"")</f>
        <v>600</v>
      </c>
      <c r="M10" s="42">
        <v>417</v>
      </c>
      <c r="N10" s="42">
        <v>33</v>
      </c>
      <c r="O10" s="43">
        <v>0</v>
      </c>
      <c r="P10" s="44">
        <f>IFERROR(Production[[#This Row],[Defect Quantity]]/(Production[[#This Row],[Defect Quantity]]+Production[[#This Row],[Ok Quantity]]),"")</f>
        <v>7.3333333333333334E-2</v>
      </c>
      <c r="Q10" s="44">
        <f>IFERROR(IF(Production[[#This Row],[Ok Quantity]]="","",Production[[#This Row],[Ok Quantity]]/Production[[#This Row],[Target Quantity]]),"")</f>
        <v>0.69499999999999995</v>
      </c>
      <c r="R10" s="41">
        <f>IFERROR(VLOOKUP(Production[[#This Row],[Product]],Database!B:E,4,0)*Production[[#This Row],[Defect Quantity]],"")</f>
        <v>1683</v>
      </c>
      <c r="S10" s="41">
        <f>IFERROR(VLOOKUP(Production[[#This Row],[Line]],Database!L:M,2,0)*(Production[[#This Row],[Lose Time (Hrs)]]),"")</f>
        <v>0</v>
      </c>
      <c r="T10" s="41">
        <f>IFERROR(Production[[#This Row],[Lose Time Cost]]+Production[[#This Row],[Defect Cost]],"")</f>
        <v>1683</v>
      </c>
      <c r="U10" s="45">
        <f>IFERROR(3600/VLOOKUP(Production[[#This Row],[Product]],Database!B:E,2,0),"")</f>
        <v>85.714285714285708</v>
      </c>
      <c r="V10" s="45">
        <f>IFERROR(Production[[#This Row],[UPH]]/VLOOKUP(Production[[#This Row],[Product]],Database!B:E,3,0),"")</f>
        <v>28.571428571428569</v>
      </c>
      <c r="W10" s="46" t="str">
        <f>IFERROR(Production[[#This Row],[Actual Run Time (Hrs)]]/Production[[#This Row],[Breakdowns]],"")</f>
        <v/>
      </c>
      <c r="X10" s="46" t="str">
        <f>IFERROR(Production[[#This Row],[Lose Time (Hrs)]]/Production[[#This Row],[Breakdowns]],"")</f>
        <v/>
      </c>
      <c r="Y10" s="44">
        <f>IFERROR(IF(Production[[#This Row],[Actual Run Time (Hrs)]]="","",Production[[#This Row],[Actual Run Time (Hrs)]]/(Production[[#This Row],[Available time (Hrs)]]-Production[[#This Row],[Planned downtime (Hrs)]])),"")</f>
        <v>1</v>
      </c>
      <c r="Z10" s="47">
        <f>IFERROR((IF(Production[[#This Row],[Ok Quantity]]="","",Production[[#This Row],[Ok Quantity]]+Production[[#This Row],[Defect Quantity]])/Production[[#This Row],[Target Quantity]]),"")</f>
        <v>0.75</v>
      </c>
      <c r="AA10" s="47">
        <f>IFERROR(Production[[#This Row],[Ok Quantity]]/(Production[[#This Row],[Ok Quantity]]+Production[[#This Row],[Defect Quantity]]),"")</f>
        <v>0.92666666666666664</v>
      </c>
      <c r="AB10" s="44">
        <f>IFERROR(Production[[#This Row],[Quality %]]*Production[[#This Row],[Performance %]]*Production[[#This Row],[Availability %]],"")</f>
        <v>0.69499999999999995</v>
      </c>
    </row>
    <row r="11" spans="1:28" x14ac:dyDescent="0.25">
      <c r="A11" s="91" t="str">
        <f t="shared" si="0"/>
        <v/>
      </c>
      <c r="B11" s="26">
        <v>43664</v>
      </c>
      <c r="C11" s="28">
        <v>3</v>
      </c>
      <c r="D11" s="9" t="s">
        <v>28</v>
      </c>
      <c r="E11" s="9" t="s">
        <v>23</v>
      </c>
      <c r="F11" s="31">
        <v>6</v>
      </c>
      <c r="G11" s="33">
        <f>IFERROR(VLOOKUP(Production[[#This Row],[Shift]],Database!G:H,2,0),"")</f>
        <v>8</v>
      </c>
      <c r="H11" s="31">
        <v>1</v>
      </c>
      <c r="I11" s="33">
        <f>IFERROR(Production[[#This Row],[Available time (Hrs)]]-Production[[#This Row],[Planned downtime (Hrs)]],"")</f>
        <v>7</v>
      </c>
      <c r="J11" s="33">
        <f>IF(Production[[#This Row],[Available time (Hrs)]]="","",Production[[#This Row],[Available time (Hrs)]]-Production[[#This Row],[Actual Run Time (Hrs)]]-Production[[#This Row],[Planned downtime (Hrs)]])</f>
        <v>1</v>
      </c>
      <c r="K11" s="9" t="s">
        <v>34</v>
      </c>
      <c r="L11" s="41">
        <f>IFERROR(Production[[#This Row],[UPH]]*(Production[[#This Row],[Available time (Hrs)]]-Production[[#This Row],[Planned downtime (Hrs)]]),"")</f>
        <v>600</v>
      </c>
      <c r="M11" s="42">
        <v>412</v>
      </c>
      <c r="N11" s="42">
        <v>78</v>
      </c>
      <c r="O11" s="43">
        <v>1</v>
      </c>
      <c r="P11" s="44">
        <f>IFERROR(Production[[#This Row],[Defect Quantity]]/(Production[[#This Row],[Defect Quantity]]+Production[[#This Row],[Ok Quantity]]),"")</f>
        <v>0.15918367346938775</v>
      </c>
      <c r="Q11" s="44">
        <f>IFERROR(IF(Production[[#This Row],[Ok Quantity]]="","",Production[[#This Row],[Ok Quantity]]/Production[[#This Row],[Target Quantity]]),"")</f>
        <v>0.68666666666666665</v>
      </c>
      <c r="R11" s="41">
        <f>IFERROR(VLOOKUP(Production[[#This Row],[Product]],Database!B:E,4,0)*Production[[#This Row],[Defect Quantity]],"")</f>
        <v>2730</v>
      </c>
      <c r="S11" s="41">
        <f>IFERROR(VLOOKUP(Production[[#This Row],[Line]],Database!L:M,2,0)*(Production[[#This Row],[Lose Time (Hrs)]]),"")</f>
        <v>1200</v>
      </c>
      <c r="T11" s="41">
        <f>IFERROR(Production[[#This Row],[Lose Time Cost]]+Production[[#This Row],[Defect Cost]],"")</f>
        <v>3930</v>
      </c>
      <c r="U11" s="45">
        <f>IFERROR(3600/VLOOKUP(Production[[#This Row],[Product]],Database!B:E,2,0),"")</f>
        <v>85.714285714285708</v>
      </c>
      <c r="V11" s="45">
        <f>IFERROR(Production[[#This Row],[UPH]]/VLOOKUP(Production[[#This Row],[Product]],Database!B:E,3,0),"")</f>
        <v>17.142857142857142</v>
      </c>
      <c r="W11" s="46">
        <f>IFERROR(Production[[#This Row],[Actual Run Time (Hrs)]]/Production[[#This Row],[Breakdowns]],"")</f>
        <v>6</v>
      </c>
      <c r="X11" s="46">
        <f>IFERROR(Production[[#This Row],[Lose Time (Hrs)]]/Production[[#This Row],[Breakdowns]],"")</f>
        <v>1</v>
      </c>
      <c r="Y11" s="44">
        <f>IFERROR(IF(Production[[#This Row],[Actual Run Time (Hrs)]]="","",Production[[#This Row],[Actual Run Time (Hrs)]]/(Production[[#This Row],[Available time (Hrs)]]-Production[[#This Row],[Planned downtime (Hrs)]])),"")</f>
        <v>0.8571428571428571</v>
      </c>
      <c r="Z11" s="47">
        <f>IFERROR((IF(Production[[#This Row],[Ok Quantity]]="","",Production[[#This Row],[Ok Quantity]]+Production[[#This Row],[Defect Quantity]])/Production[[#This Row],[Target Quantity]]),"")</f>
        <v>0.81666666666666665</v>
      </c>
      <c r="AA11" s="47">
        <f>IFERROR(Production[[#This Row],[Ok Quantity]]/(Production[[#This Row],[Ok Quantity]]+Production[[#This Row],[Defect Quantity]]),"")</f>
        <v>0.84081632653061222</v>
      </c>
      <c r="AB11" s="44">
        <f>IFERROR(Production[[#This Row],[Quality %]]*Production[[#This Row],[Performance %]]*Production[[#This Row],[Availability %]],"")</f>
        <v>0.58857142857142852</v>
      </c>
    </row>
    <row r="12" spans="1:28" x14ac:dyDescent="0.25">
      <c r="A12" s="91" t="str">
        <f t="shared" si="0"/>
        <v/>
      </c>
      <c r="B12" s="26">
        <v>42543</v>
      </c>
      <c r="C12" s="28">
        <v>1</v>
      </c>
      <c r="D12" s="9" t="s">
        <v>28</v>
      </c>
      <c r="E12" s="9" t="s">
        <v>24</v>
      </c>
      <c r="F12" s="31">
        <v>5</v>
      </c>
      <c r="G12" s="33">
        <f>IFERROR(VLOOKUP(Production[[#This Row],[Shift]],Database!G:H,2,0),"")</f>
        <v>8</v>
      </c>
      <c r="H12" s="31">
        <v>1</v>
      </c>
      <c r="I12" s="33">
        <f>IFERROR(Production[[#This Row],[Available time (Hrs)]]-Production[[#This Row],[Planned downtime (Hrs)]],"")</f>
        <v>7</v>
      </c>
      <c r="J12" s="33">
        <f>IF(Production[[#This Row],[Available time (Hrs)]]="","",Production[[#This Row],[Available time (Hrs)]]-Production[[#This Row],[Actual Run Time (Hrs)]]-Production[[#This Row],[Planned downtime (Hrs)]])</f>
        <v>2</v>
      </c>
      <c r="K12" s="9" t="s">
        <v>35</v>
      </c>
      <c r="L12" s="41">
        <f>IFERROR(Production[[#This Row],[UPH]]*(Production[[#This Row],[Available time (Hrs)]]-Production[[#This Row],[Planned downtime (Hrs)]]),"")</f>
        <v>663.1578947368422</v>
      </c>
      <c r="M12" s="42">
        <v>493</v>
      </c>
      <c r="N12" s="42">
        <v>63</v>
      </c>
      <c r="O12" s="43">
        <v>1</v>
      </c>
      <c r="P12" s="44">
        <f>IFERROR(Production[[#This Row],[Defect Quantity]]/(Production[[#This Row],[Defect Quantity]]+Production[[#This Row],[Ok Quantity]]),"")</f>
        <v>0.11330935251798561</v>
      </c>
      <c r="Q12" s="44">
        <f>IFERROR(IF(Production[[#This Row],[Ok Quantity]]="","",Production[[#This Row],[Ok Quantity]]/Production[[#This Row],[Target Quantity]]),"")</f>
        <v>0.7434126984126983</v>
      </c>
      <c r="R12" s="41">
        <f>IFERROR(VLOOKUP(Production[[#This Row],[Product]],Database!B:E,4,0)*Production[[#This Row],[Defect Quantity]],"")</f>
        <v>2646</v>
      </c>
      <c r="S12" s="41">
        <f>IFERROR(VLOOKUP(Production[[#This Row],[Line]],Database!L:M,2,0)*(Production[[#This Row],[Lose Time (Hrs)]]),"")</f>
        <v>2400</v>
      </c>
      <c r="T12" s="41">
        <f>IFERROR(Production[[#This Row],[Lose Time Cost]]+Production[[#This Row],[Defect Cost]],"")</f>
        <v>5046</v>
      </c>
      <c r="U12" s="45">
        <f>IFERROR(3600/VLOOKUP(Production[[#This Row],[Product]],Database!B:E,2,0),"")</f>
        <v>94.736842105263165</v>
      </c>
      <c r="V12" s="45">
        <f>IFERROR(Production[[#This Row],[UPH]]/VLOOKUP(Production[[#This Row],[Product]],Database!B:E,3,0),"")</f>
        <v>47.368421052631582</v>
      </c>
      <c r="W12" s="46">
        <f>IFERROR(Production[[#This Row],[Actual Run Time (Hrs)]]/Production[[#This Row],[Breakdowns]],"")</f>
        <v>5</v>
      </c>
      <c r="X12" s="46">
        <f>IFERROR(Production[[#This Row],[Lose Time (Hrs)]]/Production[[#This Row],[Breakdowns]],"")</f>
        <v>2</v>
      </c>
      <c r="Y12" s="44">
        <f>IFERROR(IF(Production[[#This Row],[Actual Run Time (Hrs)]]="","",Production[[#This Row],[Actual Run Time (Hrs)]]/(Production[[#This Row],[Available time (Hrs)]]-Production[[#This Row],[Planned downtime (Hrs)]])),"")</f>
        <v>0.7142857142857143</v>
      </c>
      <c r="Z12" s="47">
        <f>IFERROR((IF(Production[[#This Row],[Ok Quantity]]="","",Production[[#This Row],[Ok Quantity]]+Production[[#This Row],[Defect Quantity]])/Production[[#This Row],[Target Quantity]]),"")</f>
        <v>0.83841269841269828</v>
      </c>
      <c r="AA12" s="47">
        <f>IFERROR(Production[[#This Row],[Ok Quantity]]/(Production[[#This Row],[Ok Quantity]]+Production[[#This Row],[Defect Quantity]]),"")</f>
        <v>0.88669064748201443</v>
      </c>
      <c r="AB12" s="44">
        <f>IFERROR(Production[[#This Row],[Quality %]]*Production[[#This Row],[Performance %]]*Production[[#This Row],[Availability %]],"")</f>
        <v>0.5310090702947845</v>
      </c>
    </row>
    <row r="13" spans="1:28" x14ac:dyDescent="0.25">
      <c r="A13" s="91" t="str">
        <f t="shared" si="0"/>
        <v/>
      </c>
      <c r="B13" s="26">
        <v>42540</v>
      </c>
      <c r="C13" s="28">
        <v>3</v>
      </c>
      <c r="D13" s="9" t="s">
        <v>28</v>
      </c>
      <c r="E13" s="9" t="s">
        <v>25</v>
      </c>
      <c r="F13" s="31">
        <v>7</v>
      </c>
      <c r="G13" s="33">
        <f>IFERROR(VLOOKUP(Production[[#This Row],[Shift]],Database!G:H,2,0),"")</f>
        <v>8</v>
      </c>
      <c r="H13" s="31">
        <v>1</v>
      </c>
      <c r="I13" s="33">
        <f>IFERROR(Production[[#This Row],[Available time (Hrs)]]-Production[[#This Row],[Planned downtime (Hrs)]],"")</f>
        <v>7</v>
      </c>
      <c r="J13" s="33">
        <f>IF(Production[[#This Row],[Available time (Hrs)]]="","",Production[[#This Row],[Available time (Hrs)]]-Production[[#This Row],[Actual Run Time (Hrs)]]-Production[[#This Row],[Planned downtime (Hrs)]])</f>
        <v>0</v>
      </c>
      <c r="L13" s="41">
        <f>IFERROR(Production[[#This Row],[UPH]]*(Production[[#This Row],[Available time (Hrs)]]-Production[[#This Row],[Planned downtime (Hrs)]]),"")</f>
        <v>600</v>
      </c>
      <c r="M13" s="42">
        <v>467</v>
      </c>
      <c r="N13" s="42">
        <v>80</v>
      </c>
      <c r="O13" s="43">
        <v>0</v>
      </c>
      <c r="P13" s="44">
        <f>IFERROR(Production[[#This Row],[Defect Quantity]]/(Production[[#This Row],[Defect Quantity]]+Production[[#This Row],[Ok Quantity]]),"")</f>
        <v>0.14625228519195613</v>
      </c>
      <c r="Q13" s="44">
        <f>IFERROR(IF(Production[[#This Row],[Ok Quantity]]="","",Production[[#This Row],[Ok Quantity]]/Production[[#This Row],[Target Quantity]]),"")</f>
        <v>0.77833333333333332</v>
      </c>
      <c r="R13" s="41">
        <f>IFERROR(VLOOKUP(Production[[#This Row],[Product]],Database!B:E,4,0)*Production[[#This Row],[Defect Quantity]],"")</f>
        <v>4080</v>
      </c>
      <c r="S13" s="41">
        <f>IFERROR(VLOOKUP(Production[[#This Row],[Line]],Database!L:M,2,0)*(Production[[#This Row],[Lose Time (Hrs)]]),"")</f>
        <v>0</v>
      </c>
      <c r="T13" s="41">
        <f>IFERROR(Production[[#This Row],[Lose Time Cost]]+Production[[#This Row],[Defect Cost]],"")</f>
        <v>4080</v>
      </c>
      <c r="U13" s="45">
        <f>IFERROR(3600/VLOOKUP(Production[[#This Row],[Product]],Database!B:E,2,0),"")</f>
        <v>85.714285714285708</v>
      </c>
      <c r="V13" s="45">
        <f>IFERROR(Production[[#This Row],[UPH]]/VLOOKUP(Production[[#This Row],[Product]],Database!B:E,3,0),"")</f>
        <v>28.571428571428569</v>
      </c>
      <c r="W13" s="46" t="str">
        <f>IFERROR(Production[[#This Row],[Actual Run Time (Hrs)]]/Production[[#This Row],[Breakdowns]],"")</f>
        <v/>
      </c>
      <c r="X13" s="46" t="str">
        <f>IFERROR(Production[[#This Row],[Lose Time (Hrs)]]/Production[[#This Row],[Breakdowns]],"")</f>
        <v/>
      </c>
      <c r="Y13" s="44">
        <f>IFERROR(IF(Production[[#This Row],[Actual Run Time (Hrs)]]="","",Production[[#This Row],[Actual Run Time (Hrs)]]/(Production[[#This Row],[Available time (Hrs)]]-Production[[#This Row],[Planned downtime (Hrs)]])),"")</f>
        <v>1</v>
      </c>
      <c r="Z13" s="47">
        <f>IFERROR((IF(Production[[#This Row],[Ok Quantity]]="","",Production[[#This Row],[Ok Quantity]]+Production[[#This Row],[Defect Quantity]])/Production[[#This Row],[Target Quantity]]),"")</f>
        <v>0.91166666666666663</v>
      </c>
      <c r="AA13" s="47">
        <f>IFERROR(Production[[#This Row],[Ok Quantity]]/(Production[[#This Row],[Ok Quantity]]+Production[[#This Row],[Defect Quantity]]),"")</f>
        <v>0.8537477148080439</v>
      </c>
      <c r="AB13" s="44">
        <f>IFERROR(Production[[#This Row],[Quality %]]*Production[[#This Row],[Performance %]]*Production[[#This Row],[Availability %]],"")</f>
        <v>0.77833333333333332</v>
      </c>
    </row>
    <row r="14" spans="1:28" x14ac:dyDescent="0.25">
      <c r="A14" s="91" t="str">
        <f t="shared" si="0"/>
        <v/>
      </c>
      <c r="B14" s="26">
        <v>42408</v>
      </c>
      <c r="C14" s="28">
        <v>2</v>
      </c>
      <c r="D14" s="9" t="s">
        <v>28</v>
      </c>
      <c r="E14" s="9" t="s">
        <v>21</v>
      </c>
      <c r="F14" s="31">
        <v>7</v>
      </c>
      <c r="G14" s="33">
        <f>IFERROR(VLOOKUP(Production[[#This Row],[Shift]],Database!G:H,2,0),"")</f>
        <v>8</v>
      </c>
      <c r="H14" s="31">
        <v>1</v>
      </c>
      <c r="I14" s="33">
        <f>IFERROR(Production[[#This Row],[Available time (Hrs)]]-Production[[#This Row],[Planned downtime (Hrs)]],"")</f>
        <v>7</v>
      </c>
      <c r="J14" s="33">
        <f>IF(Production[[#This Row],[Available time (Hrs)]]="","",Production[[#This Row],[Available time (Hrs)]]-Production[[#This Row],[Actual Run Time (Hrs)]]-Production[[#This Row],[Planned downtime (Hrs)]])</f>
        <v>0</v>
      </c>
      <c r="L14" s="41">
        <f>IFERROR(Production[[#This Row],[UPH]]*(Production[[#This Row],[Available time (Hrs)]]-Production[[#This Row],[Planned downtime (Hrs)]]),"")</f>
        <v>630</v>
      </c>
      <c r="M14" s="42">
        <v>416</v>
      </c>
      <c r="N14" s="42">
        <v>67</v>
      </c>
      <c r="O14" s="43">
        <v>0</v>
      </c>
      <c r="P14" s="44">
        <f>IFERROR(Production[[#This Row],[Defect Quantity]]/(Production[[#This Row],[Defect Quantity]]+Production[[#This Row],[Ok Quantity]]),"")</f>
        <v>0.13871635610766045</v>
      </c>
      <c r="Q14" s="44">
        <f>IFERROR(IF(Production[[#This Row],[Ok Quantity]]="","",Production[[#This Row],[Ok Quantity]]/Production[[#This Row],[Target Quantity]]),"")</f>
        <v>0.6603174603174603</v>
      </c>
      <c r="R14" s="41">
        <f>IFERROR(VLOOKUP(Production[[#This Row],[Product]],Database!B:E,4,0)*Production[[#This Row],[Defect Quantity]],"")</f>
        <v>2680</v>
      </c>
      <c r="S14" s="41">
        <f>IFERROR(VLOOKUP(Production[[#This Row],[Line]],Database!L:M,2,0)*(Production[[#This Row],[Lose Time (Hrs)]]),"")</f>
        <v>0</v>
      </c>
      <c r="T14" s="41">
        <f>IFERROR(Production[[#This Row],[Lose Time Cost]]+Production[[#This Row],[Defect Cost]],"")</f>
        <v>2680</v>
      </c>
      <c r="U14" s="45">
        <f>IFERROR(3600/VLOOKUP(Production[[#This Row],[Product]],Database!B:E,2,0),"")</f>
        <v>90</v>
      </c>
      <c r="V14" s="45">
        <f>IFERROR(Production[[#This Row],[UPH]]/VLOOKUP(Production[[#This Row],[Product]],Database!B:E,3,0),"")</f>
        <v>30</v>
      </c>
      <c r="W14" s="46" t="str">
        <f>IFERROR(Production[[#This Row],[Actual Run Time (Hrs)]]/Production[[#This Row],[Breakdowns]],"")</f>
        <v/>
      </c>
      <c r="X14" s="46" t="str">
        <f>IFERROR(Production[[#This Row],[Lose Time (Hrs)]]/Production[[#This Row],[Breakdowns]],"")</f>
        <v/>
      </c>
      <c r="Y14" s="44">
        <f>IFERROR(IF(Production[[#This Row],[Actual Run Time (Hrs)]]="","",Production[[#This Row],[Actual Run Time (Hrs)]]/(Production[[#This Row],[Available time (Hrs)]]-Production[[#This Row],[Planned downtime (Hrs)]])),"")</f>
        <v>1</v>
      </c>
      <c r="Z14" s="47">
        <f>IFERROR((IF(Production[[#This Row],[Ok Quantity]]="","",Production[[#This Row],[Ok Quantity]]+Production[[#This Row],[Defect Quantity]])/Production[[#This Row],[Target Quantity]]),"")</f>
        <v>0.76666666666666672</v>
      </c>
      <c r="AA14" s="47">
        <f>IFERROR(Production[[#This Row],[Ok Quantity]]/(Production[[#This Row],[Ok Quantity]]+Production[[#This Row],[Defect Quantity]]),"")</f>
        <v>0.86128364389233958</v>
      </c>
      <c r="AB14" s="44">
        <f>IFERROR(Production[[#This Row],[Quality %]]*Production[[#This Row],[Performance %]]*Production[[#This Row],[Availability %]],"")</f>
        <v>0.66031746031746041</v>
      </c>
    </row>
    <row r="15" spans="1:28" x14ac:dyDescent="0.25">
      <c r="A15" s="91" t="str">
        <f t="shared" si="0"/>
        <v/>
      </c>
      <c r="B15" s="26">
        <v>42375</v>
      </c>
      <c r="C15" s="28">
        <v>3</v>
      </c>
      <c r="D15" s="9" t="s">
        <v>29</v>
      </c>
      <c r="E15" s="9" t="s">
        <v>24</v>
      </c>
      <c r="F15" s="31">
        <v>7</v>
      </c>
      <c r="G15" s="33">
        <f>IFERROR(VLOOKUP(Production[[#This Row],[Shift]],Database!G:H,2,0),"")</f>
        <v>8</v>
      </c>
      <c r="H15" s="31">
        <v>1</v>
      </c>
      <c r="I15" s="33">
        <f>IFERROR(Production[[#This Row],[Available time (Hrs)]]-Production[[#This Row],[Planned downtime (Hrs)]],"")</f>
        <v>7</v>
      </c>
      <c r="J15" s="33">
        <f>IF(Production[[#This Row],[Available time (Hrs)]]="","",Production[[#This Row],[Available time (Hrs)]]-Production[[#This Row],[Actual Run Time (Hrs)]]-Production[[#This Row],[Planned downtime (Hrs)]])</f>
        <v>0</v>
      </c>
      <c r="L15" s="41">
        <f>IFERROR(Production[[#This Row],[UPH]]*(Production[[#This Row],[Available time (Hrs)]]-Production[[#This Row],[Planned downtime (Hrs)]]),"")</f>
        <v>663.1578947368422</v>
      </c>
      <c r="M15" s="42">
        <v>415</v>
      </c>
      <c r="N15" s="42">
        <v>35</v>
      </c>
      <c r="O15" s="43">
        <v>0</v>
      </c>
      <c r="P15" s="44">
        <f>IFERROR(Production[[#This Row],[Defect Quantity]]/(Production[[#This Row],[Defect Quantity]]+Production[[#This Row],[Ok Quantity]]),"")</f>
        <v>7.7777777777777779E-2</v>
      </c>
      <c r="Q15" s="44">
        <f>IFERROR(IF(Production[[#This Row],[Ok Quantity]]="","",Production[[#This Row],[Ok Quantity]]/Production[[#This Row],[Target Quantity]]),"")</f>
        <v>0.62579365079365068</v>
      </c>
      <c r="R15" s="41">
        <f>IFERROR(VLOOKUP(Production[[#This Row],[Product]],Database!B:E,4,0)*Production[[#This Row],[Defect Quantity]],"")</f>
        <v>1470</v>
      </c>
      <c r="S15" s="41">
        <f>IFERROR(VLOOKUP(Production[[#This Row],[Line]],Database!L:M,2,0)*(Production[[#This Row],[Lose Time (Hrs)]]),"")</f>
        <v>0</v>
      </c>
      <c r="T15" s="41">
        <f>IFERROR(Production[[#This Row],[Lose Time Cost]]+Production[[#This Row],[Defect Cost]],"")</f>
        <v>1470</v>
      </c>
      <c r="U15" s="45">
        <f>IFERROR(3600/VLOOKUP(Production[[#This Row],[Product]],Database!B:E,2,0),"")</f>
        <v>94.736842105263165</v>
      </c>
      <c r="V15" s="45">
        <f>IFERROR(Production[[#This Row],[UPH]]/VLOOKUP(Production[[#This Row],[Product]],Database!B:E,3,0),"")</f>
        <v>47.368421052631582</v>
      </c>
      <c r="W15" s="46" t="str">
        <f>IFERROR(Production[[#This Row],[Actual Run Time (Hrs)]]/Production[[#This Row],[Breakdowns]],"")</f>
        <v/>
      </c>
      <c r="X15" s="46" t="str">
        <f>IFERROR(Production[[#This Row],[Lose Time (Hrs)]]/Production[[#This Row],[Breakdowns]],"")</f>
        <v/>
      </c>
      <c r="Y15" s="44">
        <f>IFERROR(IF(Production[[#This Row],[Actual Run Time (Hrs)]]="","",Production[[#This Row],[Actual Run Time (Hrs)]]/(Production[[#This Row],[Available time (Hrs)]]-Production[[#This Row],[Planned downtime (Hrs)]])),"")</f>
        <v>1</v>
      </c>
      <c r="Z15" s="47">
        <f>IFERROR((IF(Production[[#This Row],[Ok Quantity]]="","",Production[[#This Row],[Ok Quantity]]+Production[[#This Row],[Defect Quantity]])/Production[[#This Row],[Target Quantity]]),"")</f>
        <v>0.67857142857142849</v>
      </c>
      <c r="AA15" s="47">
        <f>IFERROR(Production[[#This Row],[Ok Quantity]]/(Production[[#This Row],[Ok Quantity]]+Production[[#This Row],[Defect Quantity]]),"")</f>
        <v>0.92222222222222228</v>
      </c>
      <c r="AB15" s="44">
        <f>IFERROR(Production[[#This Row],[Quality %]]*Production[[#This Row],[Performance %]]*Production[[#This Row],[Availability %]],"")</f>
        <v>0.62579365079365079</v>
      </c>
    </row>
    <row r="16" spans="1:28" x14ac:dyDescent="0.25">
      <c r="A16" s="91" t="str">
        <f t="shared" si="0"/>
        <v/>
      </c>
      <c r="B16" s="26">
        <v>42840</v>
      </c>
      <c r="C16" s="28">
        <v>3</v>
      </c>
      <c r="D16" s="9" t="s">
        <v>51</v>
      </c>
      <c r="E16" s="9" t="s">
        <v>25</v>
      </c>
      <c r="F16" s="31">
        <v>5</v>
      </c>
      <c r="G16" s="33">
        <f>IFERROR(VLOOKUP(Production[[#This Row],[Shift]],Database!G:H,2,0),"")</f>
        <v>8</v>
      </c>
      <c r="H16" s="31">
        <v>1</v>
      </c>
      <c r="I16" s="33">
        <f>IFERROR(Production[[#This Row],[Available time (Hrs)]]-Production[[#This Row],[Planned downtime (Hrs)]],"")</f>
        <v>7</v>
      </c>
      <c r="J16" s="33">
        <f>IF(Production[[#This Row],[Available time (Hrs)]]="","",Production[[#This Row],[Available time (Hrs)]]-Production[[#This Row],[Actual Run Time (Hrs)]]-Production[[#This Row],[Planned downtime (Hrs)]])</f>
        <v>2</v>
      </c>
      <c r="K16" s="9" t="s">
        <v>33</v>
      </c>
      <c r="L16" s="41">
        <f>IFERROR(Production[[#This Row],[UPH]]*(Production[[#This Row],[Available time (Hrs)]]-Production[[#This Row],[Planned downtime (Hrs)]]),"")</f>
        <v>600</v>
      </c>
      <c r="M16" s="42">
        <v>492</v>
      </c>
      <c r="N16" s="42">
        <v>67</v>
      </c>
      <c r="O16" s="43">
        <v>0</v>
      </c>
      <c r="P16" s="44">
        <f>IFERROR(Production[[#This Row],[Defect Quantity]]/(Production[[#This Row],[Defect Quantity]]+Production[[#This Row],[Ok Quantity]]),"")</f>
        <v>0.11985688729874776</v>
      </c>
      <c r="Q16" s="44">
        <f>IFERROR(IF(Production[[#This Row],[Ok Quantity]]="","",Production[[#This Row],[Ok Quantity]]/Production[[#This Row],[Target Quantity]]),"")</f>
        <v>0.82</v>
      </c>
      <c r="R16" s="41">
        <f>IFERROR(VLOOKUP(Production[[#This Row],[Product]],Database!B:E,4,0)*Production[[#This Row],[Defect Quantity]],"")</f>
        <v>3417</v>
      </c>
      <c r="S16" s="41">
        <f>IFERROR(VLOOKUP(Production[[#This Row],[Line]],Database!L:M,2,0)*(Production[[#This Row],[Lose Time (Hrs)]]),"")</f>
        <v>2600</v>
      </c>
      <c r="T16" s="41">
        <f>IFERROR(Production[[#This Row],[Lose Time Cost]]+Production[[#This Row],[Defect Cost]],"")</f>
        <v>6017</v>
      </c>
      <c r="U16" s="45">
        <f>IFERROR(3600/VLOOKUP(Production[[#This Row],[Product]],Database!B:E,2,0),"")</f>
        <v>85.714285714285708</v>
      </c>
      <c r="V16" s="45">
        <f>IFERROR(Production[[#This Row],[UPH]]/VLOOKUP(Production[[#This Row],[Product]],Database!B:E,3,0),"")</f>
        <v>28.571428571428569</v>
      </c>
      <c r="W16" s="46" t="str">
        <f>IFERROR(Production[[#This Row],[Actual Run Time (Hrs)]]/Production[[#This Row],[Breakdowns]],"")</f>
        <v/>
      </c>
      <c r="X16" s="46" t="str">
        <f>IFERROR(Production[[#This Row],[Lose Time (Hrs)]]/Production[[#This Row],[Breakdowns]],"")</f>
        <v/>
      </c>
      <c r="Y16" s="44">
        <f>IFERROR(IF(Production[[#This Row],[Actual Run Time (Hrs)]]="","",Production[[#This Row],[Actual Run Time (Hrs)]]/(Production[[#This Row],[Available time (Hrs)]]-Production[[#This Row],[Planned downtime (Hrs)]])),"")</f>
        <v>0.7142857142857143</v>
      </c>
      <c r="Z16" s="47">
        <f>IFERROR((IF(Production[[#This Row],[Ok Quantity]]="","",Production[[#This Row],[Ok Quantity]]+Production[[#This Row],[Defect Quantity]])/Production[[#This Row],[Target Quantity]]),"")</f>
        <v>0.93166666666666664</v>
      </c>
      <c r="AA16" s="47">
        <f>IFERROR(Production[[#This Row],[Ok Quantity]]/(Production[[#This Row],[Ok Quantity]]+Production[[#This Row],[Defect Quantity]]),"")</f>
        <v>0.88014311270125223</v>
      </c>
      <c r="AB16" s="44">
        <f>IFERROR(Production[[#This Row],[Quality %]]*Production[[#This Row],[Performance %]]*Production[[#This Row],[Availability %]],"")</f>
        <v>0.58571428571428574</v>
      </c>
    </row>
    <row r="17" spans="1:28" x14ac:dyDescent="0.25">
      <c r="A17" s="91" t="str">
        <f t="shared" si="0"/>
        <v/>
      </c>
      <c r="B17" s="26">
        <v>42466</v>
      </c>
      <c r="C17" s="28">
        <v>2</v>
      </c>
      <c r="D17" s="9" t="s">
        <v>50</v>
      </c>
      <c r="E17" s="9" t="s">
        <v>25</v>
      </c>
      <c r="F17" s="31">
        <v>6</v>
      </c>
      <c r="G17" s="33">
        <f>IFERROR(VLOOKUP(Production[[#This Row],[Shift]],Database!G:H,2,0),"")</f>
        <v>8</v>
      </c>
      <c r="H17" s="31">
        <v>1</v>
      </c>
      <c r="I17" s="33">
        <f>IFERROR(Production[[#This Row],[Available time (Hrs)]]-Production[[#This Row],[Planned downtime (Hrs)]],"")</f>
        <v>7</v>
      </c>
      <c r="J17" s="33">
        <f>IF(Production[[#This Row],[Available time (Hrs)]]="","",Production[[#This Row],[Available time (Hrs)]]-Production[[#This Row],[Actual Run Time (Hrs)]]-Production[[#This Row],[Planned downtime (Hrs)]])</f>
        <v>1</v>
      </c>
      <c r="K17" s="9" t="s">
        <v>35</v>
      </c>
      <c r="L17" s="41">
        <f>IFERROR(Production[[#This Row],[UPH]]*(Production[[#This Row],[Available time (Hrs)]]-Production[[#This Row],[Planned downtime (Hrs)]]),"")</f>
        <v>600</v>
      </c>
      <c r="M17" s="42">
        <v>461</v>
      </c>
      <c r="N17" s="42">
        <v>80</v>
      </c>
      <c r="O17" s="43">
        <v>1</v>
      </c>
      <c r="P17" s="44">
        <f>IFERROR(Production[[#This Row],[Defect Quantity]]/(Production[[#This Row],[Defect Quantity]]+Production[[#This Row],[Ok Quantity]]),"")</f>
        <v>0.1478743068391867</v>
      </c>
      <c r="Q17" s="44">
        <f>IFERROR(IF(Production[[#This Row],[Ok Quantity]]="","",Production[[#This Row],[Ok Quantity]]/Production[[#This Row],[Target Quantity]]),"")</f>
        <v>0.76833333333333331</v>
      </c>
      <c r="R17" s="41">
        <f>IFERROR(VLOOKUP(Production[[#This Row],[Product]],Database!B:E,4,0)*Production[[#This Row],[Defect Quantity]],"")</f>
        <v>4080</v>
      </c>
      <c r="S17" s="41">
        <f>IFERROR(VLOOKUP(Production[[#This Row],[Line]],Database!L:M,2,0)*(Production[[#This Row],[Lose Time (Hrs)]]),"")</f>
        <v>1500</v>
      </c>
      <c r="T17" s="41">
        <f>IFERROR(Production[[#This Row],[Lose Time Cost]]+Production[[#This Row],[Defect Cost]],"")</f>
        <v>5580</v>
      </c>
      <c r="U17" s="45">
        <f>IFERROR(3600/VLOOKUP(Production[[#This Row],[Product]],Database!B:E,2,0),"")</f>
        <v>85.714285714285708</v>
      </c>
      <c r="V17" s="45">
        <f>IFERROR(Production[[#This Row],[UPH]]/VLOOKUP(Production[[#This Row],[Product]],Database!B:E,3,0),"")</f>
        <v>28.571428571428569</v>
      </c>
      <c r="W17" s="46">
        <f>IFERROR(Production[[#This Row],[Actual Run Time (Hrs)]]/Production[[#This Row],[Breakdowns]],"")</f>
        <v>6</v>
      </c>
      <c r="X17" s="46">
        <f>IFERROR(Production[[#This Row],[Lose Time (Hrs)]]/Production[[#This Row],[Breakdowns]],"")</f>
        <v>1</v>
      </c>
      <c r="Y17" s="44">
        <f>IFERROR(IF(Production[[#This Row],[Actual Run Time (Hrs)]]="","",Production[[#This Row],[Actual Run Time (Hrs)]]/(Production[[#This Row],[Available time (Hrs)]]-Production[[#This Row],[Planned downtime (Hrs)]])),"")</f>
        <v>0.8571428571428571</v>
      </c>
      <c r="Z17" s="47">
        <f>IFERROR((IF(Production[[#This Row],[Ok Quantity]]="","",Production[[#This Row],[Ok Quantity]]+Production[[#This Row],[Defect Quantity]])/Production[[#This Row],[Target Quantity]]),"")</f>
        <v>0.90166666666666662</v>
      </c>
      <c r="AA17" s="47">
        <f>IFERROR(Production[[#This Row],[Ok Quantity]]/(Production[[#This Row],[Ok Quantity]]+Production[[#This Row],[Defect Quantity]]),"")</f>
        <v>0.85212569316081332</v>
      </c>
      <c r="AB17" s="44">
        <f>IFERROR(Production[[#This Row],[Quality %]]*Production[[#This Row],[Performance %]]*Production[[#This Row],[Availability %]],"")</f>
        <v>0.65857142857142847</v>
      </c>
    </row>
    <row r="18" spans="1:28" x14ac:dyDescent="0.25">
      <c r="A18" s="91" t="str">
        <f t="shared" si="0"/>
        <v/>
      </c>
      <c r="B18" s="26">
        <v>42299</v>
      </c>
      <c r="C18" s="28">
        <v>3</v>
      </c>
      <c r="D18" s="9" t="s">
        <v>28</v>
      </c>
      <c r="E18" s="9" t="s">
        <v>23</v>
      </c>
      <c r="F18" s="31">
        <v>6</v>
      </c>
      <c r="G18" s="33">
        <f>IFERROR(VLOOKUP(Production[[#This Row],[Shift]],Database!G:H,2,0),"")</f>
        <v>8</v>
      </c>
      <c r="H18" s="31">
        <v>1</v>
      </c>
      <c r="I18" s="33">
        <f>IFERROR(Production[[#This Row],[Available time (Hrs)]]-Production[[#This Row],[Planned downtime (Hrs)]],"")</f>
        <v>7</v>
      </c>
      <c r="J18" s="33">
        <f>IF(Production[[#This Row],[Available time (Hrs)]]="","",Production[[#This Row],[Available time (Hrs)]]-Production[[#This Row],[Actual Run Time (Hrs)]]-Production[[#This Row],[Planned downtime (Hrs)]])</f>
        <v>1</v>
      </c>
      <c r="K18" s="9" t="s">
        <v>32</v>
      </c>
      <c r="L18" s="41">
        <f>IFERROR(Production[[#This Row],[UPH]]*(Production[[#This Row],[Available time (Hrs)]]-Production[[#This Row],[Planned downtime (Hrs)]]),"")</f>
        <v>600</v>
      </c>
      <c r="M18" s="42">
        <v>479</v>
      </c>
      <c r="N18" s="42">
        <v>64</v>
      </c>
      <c r="O18" s="43">
        <v>2</v>
      </c>
      <c r="P18" s="44">
        <f>IFERROR(Production[[#This Row],[Defect Quantity]]/(Production[[#This Row],[Defect Quantity]]+Production[[#This Row],[Ok Quantity]]),"")</f>
        <v>0.11786372007366483</v>
      </c>
      <c r="Q18" s="44">
        <f>IFERROR(IF(Production[[#This Row],[Ok Quantity]]="","",Production[[#This Row],[Ok Quantity]]/Production[[#This Row],[Target Quantity]]),"")</f>
        <v>0.79833333333333334</v>
      </c>
      <c r="R18" s="41">
        <f>IFERROR(VLOOKUP(Production[[#This Row],[Product]],Database!B:E,4,0)*Production[[#This Row],[Defect Quantity]],"")</f>
        <v>2240</v>
      </c>
      <c r="S18" s="41">
        <f>IFERROR(VLOOKUP(Production[[#This Row],[Line]],Database!L:M,2,0)*(Production[[#This Row],[Lose Time (Hrs)]]),"")</f>
        <v>1200</v>
      </c>
      <c r="T18" s="41">
        <f>IFERROR(Production[[#This Row],[Lose Time Cost]]+Production[[#This Row],[Defect Cost]],"")</f>
        <v>3440</v>
      </c>
      <c r="U18" s="45">
        <f>IFERROR(3600/VLOOKUP(Production[[#This Row],[Product]],Database!B:E,2,0),"")</f>
        <v>85.714285714285708</v>
      </c>
      <c r="V18" s="45">
        <f>IFERROR(Production[[#This Row],[UPH]]/VLOOKUP(Production[[#This Row],[Product]],Database!B:E,3,0),"")</f>
        <v>17.142857142857142</v>
      </c>
      <c r="W18" s="46">
        <f>IFERROR(Production[[#This Row],[Actual Run Time (Hrs)]]/Production[[#This Row],[Breakdowns]],"")</f>
        <v>3</v>
      </c>
      <c r="X18" s="46">
        <f>IFERROR(Production[[#This Row],[Lose Time (Hrs)]]/Production[[#This Row],[Breakdowns]],"")</f>
        <v>0.5</v>
      </c>
      <c r="Y18" s="44">
        <f>IFERROR(IF(Production[[#This Row],[Actual Run Time (Hrs)]]="","",Production[[#This Row],[Actual Run Time (Hrs)]]/(Production[[#This Row],[Available time (Hrs)]]-Production[[#This Row],[Planned downtime (Hrs)]])),"")</f>
        <v>0.8571428571428571</v>
      </c>
      <c r="Z18" s="47">
        <f>IFERROR((IF(Production[[#This Row],[Ok Quantity]]="","",Production[[#This Row],[Ok Quantity]]+Production[[#This Row],[Defect Quantity]])/Production[[#This Row],[Target Quantity]]),"")</f>
        <v>0.90500000000000003</v>
      </c>
      <c r="AA18" s="47">
        <f>IFERROR(Production[[#This Row],[Ok Quantity]]/(Production[[#This Row],[Ok Quantity]]+Production[[#This Row],[Defect Quantity]]),"")</f>
        <v>0.88213627992633514</v>
      </c>
      <c r="AB18" s="44">
        <f>IFERROR(Production[[#This Row],[Quality %]]*Production[[#This Row],[Performance %]]*Production[[#This Row],[Availability %]],"")</f>
        <v>0.68428571428571427</v>
      </c>
    </row>
    <row r="19" spans="1:28" x14ac:dyDescent="0.25">
      <c r="A19" s="91" t="str">
        <f t="shared" si="0"/>
        <v/>
      </c>
      <c r="B19" s="26">
        <v>42247</v>
      </c>
      <c r="C19" s="28">
        <v>3</v>
      </c>
      <c r="D19" s="9" t="s">
        <v>50</v>
      </c>
      <c r="E19" s="9" t="s">
        <v>22</v>
      </c>
      <c r="F19" s="31">
        <v>4</v>
      </c>
      <c r="G19" s="33">
        <f>IFERROR(VLOOKUP(Production[[#This Row],[Shift]],Database!G:H,2,0),"")</f>
        <v>8</v>
      </c>
      <c r="H19" s="31">
        <v>1</v>
      </c>
      <c r="I19" s="33">
        <f>IFERROR(Production[[#This Row],[Available time (Hrs)]]-Production[[#This Row],[Planned downtime (Hrs)]],"")</f>
        <v>7</v>
      </c>
      <c r="J19" s="33">
        <f>IF(Production[[#This Row],[Available time (Hrs)]]="","",Production[[#This Row],[Available time (Hrs)]]-Production[[#This Row],[Actual Run Time (Hrs)]]-Production[[#This Row],[Planned downtime (Hrs)]])</f>
        <v>3</v>
      </c>
      <c r="K19" s="9" t="s">
        <v>68</v>
      </c>
      <c r="L19" s="41">
        <f>IFERROR(Production[[#This Row],[UPH]]*(Production[[#This Row],[Available time (Hrs)]]-Production[[#This Row],[Planned downtime (Hrs)]]),"")</f>
        <v>681.08108108108104</v>
      </c>
      <c r="M19" s="42">
        <v>435</v>
      </c>
      <c r="N19" s="42">
        <v>72</v>
      </c>
      <c r="O19" s="43">
        <v>3</v>
      </c>
      <c r="P19" s="44">
        <f>IFERROR(Production[[#This Row],[Defect Quantity]]/(Production[[#This Row],[Defect Quantity]]+Production[[#This Row],[Ok Quantity]]),"")</f>
        <v>0.14201183431952663</v>
      </c>
      <c r="Q19" s="44">
        <f>IFERROR(IF(Production[[#This Row],[Ok Quantity]]="","",Production[[#This Row],[Ok Quantity]]/Production[[#This Row],[Target Quantity]]),"")</f>
        <v>0.63869047619047625</v>
      </c>
      <c r="R19" s="41">
        <f>IFERROR(VLOOKUP(Production[[#This Row],[Product]],Database!B:E,4,0)*Production[[#This Row],[Defect Quantity]],"")</f>
        <v>3960</v>
      </c>
      <c r="S19" s="41">
        <f>IFERROR(VLOOKUP(Production[[#This Row],[Line]],Database!L:M,2,0)*(Production[[#This Row],[Lose Time (Hrs)]]),"")</f>
        <v>4500</v>
      </c>
      <c r="T19" s="41">
        <f>IFERROR(Production[[#This Row],[Lose Time Cost]]+Production[[#This Row],[Defect Cost]],"")</f>
        <v>8460</v>
      </c>
      <c r="U19" s="45">
        <f>IFERROR(3600/VLOOKUP(Production[[#This Row],[Product]],Database!B:E,2,0),"")</f>
        <v>97.297297297297291</v>
      </c>
      <c r="V19" s="45">
        <f>IFERROR(Production[[#This Row],[UPH]]/VLOOKUP(Production[[#This Row],[Product]],Database!B:E,3,0),"")</f>
        <v>32.432432432432428</v>
      </c>
      <c r="W19" s="46">
        <f>IFERROR(Production[[#This Row],[Actual Run Time (Hrs)]]/Production[[#This Row],[Breakdowns]],"")</f>
        <v>1.3333333333333333</v>
      </c>
      <c r="X19" s="46">
        <f>IFERROR(Production[[#This Row],[Lose Time (Hrs)]]/Production[[#This Row],[Breakdowns]],"")</f>
        <v>1</v>
      </c>
      <c r="Y19" s="44">
        <f>IFERROR(IF(Production[[#This Row],[Actual Run Time (Hrs)]]="","",Production[[#This Row],[Actual Run Time (Hrs)]]/(Production[[#This Row],[Available time (Hrs)]]-Production[[#This Row],[Planned downtime (Hrs)]])),"")</f>
        <v>0.5714285714285714</v>
      </c>
      <c r="Z19" s="47">
        <f>IFERROR((IF(Production[[#This Row],[Ok Quantity]]="","",Production[[#This Row],[Ok Quantity]]+Production[[#This Row],[Defect Quantity]])/Production[[#This Row],[Target Quantity]]),"")</f>
        <v>0.7444047619047619</v>
      </c>
      <c r="AA19" s="47">
        <f>IFERROR(Production[[#This Row],[Ok Quantity]]/(Production[[#This Row],[Ok Quantity]]+Production[[#This Row],[Defect Quantity]]),"")</f>
        <v>0.85798816568047342</v>
      </c>
      <c r="AB19" s="44">
        <f>IFERROR(Production[[#This Row],[Quality %]]*Production[[#This Row],[Performance %]]*Production[[#This Row],[Availability %]],"")</f>
        <v>0.36496598639455785</v>
      </c>
    </row>
    <row r="20" spans="1:28" x14ac:dyDescent="0.25">
      <c r="A20" s="91" t="str">
        <f t="shared" si="0"/>
        <v/>
      </c>
      <c r="B20" s="26">
        <v>42794</v>
      </c>
      <c r="C20" s="28">
        <v>1</v>
      </c>
      <c r="D20" s="9" t="s">
        <v>50</v>
      </c>
      <c r="E20" s="9" t="s">
        <v>23</v>
      </c>
      <c r="F20" s="31">
        <v>6</v>
      </c>
      <c r="G20" s="33">
        <f>IFERROR(VLOOKUP(Production[[#This Row],[Shift]],Database!G:H,2,0),"")</f>
        <v>8</v>
      </c>
      <c r="H20" s="31">
        <v>1</v>
      </c>
      <c r="I20" s="33">
        <f>IFERROR(Production[[#This Row],[Available time (Hrs)]]-Production[[#This Row],[Planned downtime (Hrs)]],"")</f>
        <v>7</v>
      </c>
      <c r="J20" s="33">
        <f>IF(Production[[#This Row],[Available time (Hrs)]]="","",Production[[#This Row],[Available time (Hrs)]]-Production[[#This Row],[Actual Run Time (Hrs)]]-Production[[#This Row],[Planned downtime (Hrs)]])</f>
        <v>1</v>
      </c>
      <c r="K20" s="9" t="s">
        <v>33</v>
      </c>
      <c r="L20" s="41">
        <f>IFERROR(Production[[#This Row],[UPH]]*(Production[[#This Row],[Available time (Hrs)]]-Production[[#This Row],[Planned downtime (Hrs)]]),"")</f>
        <v>600</v>
      </c>
      <c r="M20" s="42">
        <v>471</v>
      </c>
      <c r="N20" s="42">
        <v>86</v>
      </c>
      <c r="O20" s="43">
        <v>1</v>
      </c>
      <c r="P20" s="44">
        <f>IFERROR(Production[[#This Row],[Defect Quantity]]/(Production[[#This Row],[Defect Quantity]]+Production[[#This Row],[Ok Quantity]]),"")</f>
        <v>0.15439856373429084</v>
      </c>
      <c r="Q20" s="44">
        <f>IFERROR(IF(Production[[#This Row],[Ok Quantity]]="","",Production[[#This Row],[Ok Quantity]]/Production[[#This Row],[Target Quantity]]),"")</f>
        <v>0.78500000000000003</v>
      </c>
      <c r="R20" s="41">
        <f>IFERROR(VLOOKUP(Production[[#This Row],[Product]],Database!B:E,4,0)*Production[[#This Row],[Defect Quantity]],"")</f>
        <v>3010</v>
      </c>
      <c r="S20" s="41">
        <f>IFERROR(VLOOKUP(Production[[#This Row],[Line]],Database!L:M,2,0)*(Production[[#This Row],[Lose Time (Hrs)]]),"")</f>
        <v>1500</v>
      </c>
      <c r="T20" s="41">
        <f>IFERROR(Production[[#This Row],[Lose Time Cost]]+Production[[#This Row],[Defect Cost]],"")</f>
        <v>4510</v>
      </c>
      <c r="U20" s="45">
        <f>IFERROR(3600/VLOOKUP(Production[[#This Row],[Product]],Database!B:E,2,0),"")</f>
        <v>85.714285714285708</v>
      </c>
      <c r="V20" s="45">
        <f>IFERROR(Production[[#This Row],[UPH]]/VLOOKUP(Production[[#This Row],[Product]],Database!B:E,3,0),"")</f>
        <v>17.142857142857142</v>
      </c>
      <c r="W20" s="46">
        <f>IFERROR(Production[[#This Row],[Actual Run Time (Hrs)]]/Production[[#This Row],[Breakdowns]],"")</f>
        <v>6</v>
      </c>
      <c r="X20" s="46">
        <f>IFERROR(Production[[#This Row],[Lose Time (Hrs)]]/Production[[#This Row],[Breakdowns]],"")</f>
        <v>1</v>
      </c>
      <c r="Y20" s="44">
        <f>IFERROR(IF(Production[[#This Row],[Actual Run Time (Hrs)]]="","",Production[[#This Row],[Actual Run Time (Hrs)]]/(Production[[#This Row],[Available time (Hrs)]]-Production[[#This Row],[Planned downtime (Hrs)]])),"")</f>
        <v>0.8571428571428571</v>
      </c>
      <c r="Z20" s="47">
        <f>IFERROR((IF(Production[[#This Row],[Ok Quantity]]="","",Production[[#This Row],[Ok Quantity]]+Production[[#This Row],[Defect Quantity]])/Production[[#This Row],[Target Quantity]]),"")</f>
        <v>0.92833333333333334</v>
      </c>
      <c r="AA20" s="47">
        <f>IFERROR(Production[[#This Row],[Ok Quantity]]/(Production[[#This Row],[Ok Quantity]]+Production[[#This Row],[Defect Quantity]]),"")</f>
        <v>0.84560143626570916</v>
      </c>
      <c r="AB20" s="44">
        <f>IFERROR(Production[[#This Row],[Quality %]]*Production[[#This Row],[Performance %]]*Production[[#This Row],[Availability %]],"")</f>
        <v>0.67285714285714282</v>
      </c>
    </row>
    <row r="21" spans="1:28" x14ac:dyDescent="0.25">
      <c r="A21" s="91" t="str">
        <f t="shared" si="0"/>
        <v/>
      </c>
      <c r="B21" s="26">
        <v>43529</v>
      </c>
      <c r="C21" s="28">
        <v>1</v>
      </c>
      <c r="D21" s="9" t="s">
        <v>50</v>
      </c>
      <c r="E21" s="9" t="s">
        <v>19</v>
      </c>
      <c r="F21" s="31">
        <v>5</v>
      </c>
      <c r="G21" s="33">
        <f>IFERROR(VLOOKUP(Production[[#This Row],[Shift]],Database!G:H,2,0),"")</f>
        <v>8</v>
      </c>
      <c r="H21" s="31">
        <v>1</v>
      </c>
      <c r="I21" s="33">
        <f>IFERROR(Production[[#This Row],[Available time (Hrs)]]-Production[[#This Row],[Planned downtime (Hrs)]],"")</f>
        <v>7</v>
      </c>
      <c r="J21" s="33">
        <f>IF(Production[[#This Row],[Available time (Hrs)]]="","",Production[[#This Row],[Available time (Hrs)]]-Production[[#This Row],[Actual Run Time (Hrs)]]-Production[[#This Row],[Planned downtime (Hrs)]])</f>
        <v>2</v>
      </c>
      <c r="K21" s="9" t="s">
        <v>37</v>
      </c>
      <c r="L21" s="41">
        <f>IFERROR(Production[[#This Row],[UPH]]*(Production[[#This Row],[Available time (Hrs)]]-Production[[#This Row],[Planned downtime (Hrs)]]),"")</f>
        <v>630</v>
      </c>
      <c r="M21" s="42">
        <v>489</v>
      </c>
      <c r="N21" s="42">
        <v>56</v>
      </c>
      <c r="O21" s="43">
        <v>1</v>
      </c>
      <c r="P21" s="44">
        <f>IFERROR(Production[[#This Row],[Defect Quantity]]/(Production[[#This Row],[Defect Quantity]]+Production[[#This Row],[Ok Quantity]]),"")</f>
        <v>0.10275229357798166</v>
      </c>
      <c r="Q21" s="44">
        <f>IFERROR(IF(Production[[#This Row],[Ok Quantity]]="","",Production[[#This Row],[Ok Quantity]]/Production[[#This Row],[Target Quantity]]),"")</f>
        <v>0.77619047619047621</v>
      </c>
      <c r="R21" s="41">
        <f>IFERROR(VLOOKUP(Production[[#This Row],[Product]],Database!B:E,4,0)*Production[[#This Row],[Defect Quantity]],"")</f>
        <v>3360</v>
      </c>
      <c r="S21" s="41">
        <f>IFERROR(VLOOKUP(Production[[#This Row],[Line]],Database!L:M,2,0)*(Production[[#This Row],[Lose Time (Hrs)]]),"")</f>
        <v>3000</v>
      </c>
      <c r="T21" s="41">
        <f>IFERROR(Production[[#This Row],[Lose Time Cost]]+Production[[#This Row],[Defect Cost]],"")</f>
        <v>6360</v>
      </c>
      <c r="U21" s="45">
        <f>IFERROR(3600/VLOOKUP(Production[[#This Row],[Product]],Database!B:E,2,0),"")</f>
        <v>90</v>
      </c>
      <c r="V21" s="45">
        <f>IFERROR(Production[[#This Row],[UPH]]/VLOOKUP(Production[[#This Row],[Product]],Database!B:E,3,0),"")</f>
        <v>22.5</v>
      </c>
      <c r="W21" s="46">
        <f>IFERROR(Production[[#This Row],[Actual Run Time (Hrs)]]/Production[[#This Row],[Breakdowns]],"")</f>
        <v>5</v>
      </c>
      <c r="X21" s="46">
        <f>IFERROR(Production[[#This Row],[Lose Time (Hrs)]]/Production[[#This Row],[Breakdowns]],"")</f>
        <v>2</v>
      </c>
      <c r="Y21" s="44">
        <f>IFERROR(IF(Production[[#This Row],[Actual Run Time (Hrs)]]="","",Production[[#This Row],[Actual Run Time (Hrs)]]/(Production[[#This Row],[Available time (Hrs)]]-Production[[#This Row],[Planned downtime (Hrs)]])),"")</f>
        <v>0.7142857142857143</v>
      </c>
      <c r="Z21" s="47">
        <f>IFERROR((IF(Production[[#This Row],[Ok Quantity]]="","",Production[[#This Row],[Ok Quantity]]+Production[[#This Row],[Defect Quantity]])/Production[[#This Row],[Target Quantity]]),"")</f>
        <v>0.86507936507936511</v>
      </c>
      <c r="AA21" s="47">
        <f>IFERROR(Production[[#This Row],[Ok Quantity]]/(Production[[#This Row],[Ok Quantity]]+Production[[#This Row],[Defect Quantity]]),"")</f>
        <v>0.89724770642201834</v>
      </c>
      <c r="AB21" s="44">
        <f>IFERROR(Production[[#This Row],[Quality %]]*Production[[#This Row],[Performance %]]*Production[[#This Row],[Availability %]],"")</f>
        <v>0.55442176870748305</v>
      </c>
    </row>
    <row r="22" spans="1:28" x14ac:dyDescent="0.25">
      <c r="A22" s="91" t="str">
        <f t="shared" si="0"/>
        <v/>
      </c>
      <c r="B22" s="26">
        <v>43633</v>
      </c>
      <c r="C22" s="28">
        <v>3</v>
      </c>
      <c r="D22" s="9" t="s">
        <v>27</v>
      </c>
      <c r="E22" s="9" t="s">
        <v>22</v>
      </c>
      <c r="F22" s="31">
        <v>7</v>
      </c>
      <c r="G22" s="33">
        <f>IFERROR(VLOOKUP(Production[[#This Row],[Shift]],Database!G:H,2,0),"")</f>
        <v>8</v>
      </c>
      <c r="H22" s="31">
        <v>1</v>
      </c>
      <c r="I22" s="33">
        <f>IFERROR(Production[[#This Row],[Available time (Hrs)]]-Production[[#This Row],[Planned downtime (Hrs)]],"")</f>
        <v>7</v>
      </c>
      <c r="J22" s="33">
        <f>IF(Production[[#This Row],[Available time (Hrs)]]="","",Production[[#This Row],[Available time (Hrs)]]-Production[[#This Row],[Actual Run Time (Hrs)]]-Production[[#This Row],[Planned downtime (Hrs)]])</f>
        <v>0</v>
      </c>
      <c r="L22" s="41">
        <f>IFERROR(Production[[#This Row],[UPH]]*(Production[[#This Row],[Available time (Hrs)]]-Production[[#This Row],[Planned downtime (Hrs)]]),"")</f>
        <v>681.08108108108104</v>
      </c>
      <c r="M22" s="42">
        <v>499</v>
      </c>
      <c r="N22" s="42">
        <v>130</v>
      </c>
      <c r="O22" s="43">
        <v>0</v>
      </c>
      <c r="P22" s="44">
        <f>IFERROR(Production[[#This Row],[Defect Quantity]]/(Production[[#This Row],[Defect Quantity]]+Production[[#This Row],[Ok Quantity]]),"")</f>
        <v>0.2066772655007949</v>
      </c>
      <c r="Q22" s="44">
        <f>IFERROR(IF(Production[[#This Row],[Ok Quantity]]="","",Production[[#This Row],[Ok Quantity]]/Production[[#This Row],[Target Quantity]]),"")</f>
        <v>0.73265873015873018</v>
      </c>
      <c r="R22" s="41">
        <f>IFERROR(VLOOKUP(Production[[#This Row],[Product]],Database!B:E,4,0)*Production[[#This Row],[Defect Quantity]],"")</f>
        <v>7150</v>
      </c>
      <c r="S22" s="41">
        <f>IFERROR(VLOOKUP(Production[[#This Row],[Line]],Database!L:M,2,0)*(Production[[#This Row],[Lose Time (Hrs)]]),"")</f>
        <v>0</v>
      </c>
      <c r="T22" s="41">
        <f>IFERROR(Production[[#This Row],[Lose Time Cost]]+Production[[#This Row],[Defect Cost]],"")</f>
        <v>7150</v>
      </c>
      <c r="U22" s="45">
        <f>IFERROR(3600/VLOOKUP(Production[[#This Row],[Product]],Database!B:E,2,0),"")</f>
        <v>97.297297297297291</v>
      </c>
      <c r="V22" s="45">
        <f>IFERROR(Production[[#This Row],[UPH]]/VLOOKUP(Production[[#This Row],[Product]],Database!B:E,3,0),"")</f>
        <v>32.432432432432428</v>
      </c>
      <c r="W22" s="46" t="str">
        <f>IFERROR(Production[[#This Row],[Actual Run Time (Hrs)]]/Production[[#This Row],[Breakdowns]],"")</f>
        <v/>
      </c>
      <c r="X22" s="46" t="str">
        <f>IFERROR(Production[[#This Row],[Lose Time (Hrs)]]/Production[[#This Row],[Breakdowns]],"")</f>
        <v/>
      </c>
      <c r="Y22" s="44">
        <f>IFERROR(IF(Production[[#This Row],[Actual Run Time (Hrs)]]="","",Production[[#This Row],[Actual Run Time (Hrs)]]/(Production[[#This Row],[Available time (Hrs)]]-Production[[#This Row],[Planned downtime (Hrs)]])),"")</f>
        <v>1</v>
      </c>
      <c r="Z22" s="47">
        <f>IFERROR((IF(Production[[#This Row],[Ok Quantity]]="","",Production[[#This Row],[Ok Quantity]]+Production[[#This Row],[Defect Quantity]])/Production[[#This Row],[Target Quantity]]),"")</f>
        <v>0.92353174603174604</v>
      </c>
      <c r="AA22" s="47">
        <f>IFERROR(Production[[#This Row],[Ok Quantity]]/(Production[[#This Row],[Ok Quantity]]+Production[[#This Row],[Defect Quantity]]),"")</f>
        <v>0.7933227344992051</v>
      </c>
      <c r="AB22" s="44">
        <f>IFERROR(Production[[#This Row],[Quality %]]*Production[[#This Row],[Performance %]]*Production[[#This Row],[Availability %]],"")</f>
        <v>0.73265873015873018</v>
      </c>
    </row>
    <row r="23" spans="1:28" x14ac:dyDescent="0.25">
      <c r="A23" s="91" t="str">
        <f t="shared" si="0"/>
        <v/>
      </c>
      <c r="B23" s="26">
        <v>43695</v>
      </c>
      <c r="C23" s="28">
        <v>1</v>
      </c>
      <c r="D23" s="9" t="s">
        <v>28</v>
      </c>
      <c r="E23" s="9" t="s">
        <v>25</v>
      </c>
      <c r="F23" s="31">
        <v>6</v>
      </c>
      <c r="G23" s="33">
        <f>IFERROR(VLOOKUP(Production[[#This Row],[Shift]],Database!G:H,2,0),"")</f>
        <v>8</v>
      </c>
      <c r="H23" s="31">
        <v>1</v>
      </c>
      <c r="I23" s="33">
        <f>IFERROR(Production[[#This Row],[Available time (Hrs)]]-Production[[#This Row],[Planned downtime (Hrs)]],"")</f>
        <v>7</v>
      </c>
      <c r="J23" s="33">
        <f>IF(Production[[#This Row],[Available time (Hrs)]]="","",Production[[#This Row],[Available time (Hrs)]]-Production[[#This Row],[Actual Run Time (Hrs)]]-Production[[#This Row],[Planned downtime (Hrs)]])</f>
        <v>1</v>
      </c>
      <c r="K23" s="9" t="s">
        <v>36</v>
      </c>
      <c r="L23" s="41">
        <f>IFERROR(Production[[#This Row],[UPH]]*(Production[[#This Row],[Available time (Hrs)]]-Production[[#This Row],[Planned downtime (Hrs)]]),"")</f>
        <v>600</v>
      </c>
      <c r="M23" s="42">
        <v>405</v>
      </c>
      <c r="N23" s="42">
        <v>77</v>
      </c>
      <c r="O23" s="43">
        <v>1</v>
      </c>
      <c r="P23" s="44">
        <f>IFERROR(Production[[#This Row],[Defect Quantity]]/(Production[[#This Row],[Defect Quantity]]+Production[[#This Row],[Ok Quantity]]),"")</f>
        <v>0.15975103734439833</v>
      </c>
      <c r="Q23" s="44">
        <f>IFERROR(IF(Production[[#This Row],[Ok Quantity]]="","",Production[[#This Row],[Ok Quantity]]/Production[[#This Row],[Target Quantity]]),"")</f>
        <v>0.67500000000000004</v>
      </c>
      <c r="R23" s="41">
        <f>IFERROR(VLOOKUP(Production[[#This Row],[Product]],Database!B:E,4,0)*Production[[#This Row],[Defect Quantity]],"")</f>
        <v>3927</v>
      </c>
      <c r="S23" s="41">
        <f>IFERROR(VLOOKUP(Production[[#This Row],[Line]],Database!L:M,2,0)*(Production[[#This Row],[Lose Time (Hrs)]]),"")</f>
        <v>1200</v>
      </c>
      <c r="T23" s="41">
        <f>IFERROR(Production[[#This Row],[Lose Time Cost]]+Production[[#This Row],[Defect Cost]],"")</f>
        <v>5127</v>
      </c>
      <c r="U23" s="45">
        <f>IFERROR(3600/VLOOKUP(Production[[#This Row],[Product]],Database!B:E,2,0),"")</f>
        <v>85.714285714285708</v>
      </c>
      <c r="V23" s="45">
        <f>IFERROR(Production[[#This Row],[UPH]]/VLOOKUP(Production[[#This Row],[Product]],Database!B:E,3,0),"")</f>
        <v>28.571428571428569</v>
      </c>
      <c r="W23" s="46">
        <f>IFERROR(Production[[#This Row],[Actual Run Time (Hrs)]]/Production[[#This Row],[Breakdowns]],"")</f>
        <v>6</v>
      </c>
      <c r="X23" s="46">
        <f>IFERROR(Production[[#This Row],[Lose Time (Hrs)]]/Production[[#This Row],[Breakdowns]],"")</f>
        <v>1</v>
      </c>
      <c r="Y23" s="44">
        <f>IFERROR(IF(Production[[#This Row],[Actual Run Time (Hrs)]]="","",Production[[#This Row],[Actual Run Time (Hrs)]]/(Production[[#This Row],[Available time (Hrs)]]-Production[[#This Row],[Planned downtime (Hrs)]])),"")</f>
        <v>0.8571428571428571</v>
      </c>
      <c r="Z23" s="47">
        <f>IFERROR((IF(Production[[#This Row],[Ok Quantity]]="","",Production[[#This Row],[Ok Quantity]]+Production[[#This Row],[Defect Quantity]])/Production[[#This Row],[Target Quantity]]),"")</f>
        <v>0.80333333333333334</v>
      </c>
      <c r="AA23" s="47">
        <f>IFERROR(Production[[#This Row],[Ok Quantity]]/(Production[[#This Row],[Ok Quantity]]+Production[[#This Row],[Defect Quantity]]),"")</f>
        <v>0.84024896265560167</v>
      </c>
      <c r="AB23" s="44">
        <f>IFERROR(Production[[#This Row],[Quality %]]*Production[[#This Row],[Performance %]]*Production[[#This Row],[Availability %]],"")</f>
        <v>0.57857142857142863</v>
      </c>
    </row>
    <row r="24" spans="1:28" x14ac:dyDescent="0.25">
      <c r="A24" s="91" t="str">
        <f t="shared" si="0"/>
        <v/>
      </c>
      <c r="B24" s="26">
        <v>42846</v>
      </c>
      <c r="C24" s="28">
        <v>1</v>
      </c>
      <c r="D24" s="9" t="s">
        <v>27</v>
      </c>
      <c r="E24" s="9" t="s">
        <v>22</v>
      </c>
      <c r="F24" s="31">
        <v>5</v>
      </c>
      <c r="G24" s="33">
        <f>IFERROR(VLOOKUP(Production[[#This Row],[Shift]],Database!G:H,2,0),"")</f>
        <v>8</v>
      </c>
      <c r="H24" s="31">
        <v>1</v>
      </c>
      <c r="I24" s="33">
        <f>IFERROR(Production[[#This Row],[Available time (Hrs)]]-Production[[#This Row],[Planned downtime (Hrs)]],"")</f>
        <v>7</v>
      </c>
      <c r="J24" s="33">
        <f>IF(Production[[#This Row],[Available time (Hrs)]]="","",Production[[#This Row],[Available time (Hrs)]]-Production[[#This Row],[Actual Run Time (Hrs)]]-Production[[#This Row],[Planned downtime (Hrs)]])</f>
        <v>2</v>
      </c>
      <c r="K24" s="9" t="s">
        <v>35</v>
      </c>
      <c r="L24" s="41">
        <f>IFERROR(Production[[#This Row],[UPH]]*(Production[[#This Row],[Available time (Hrs)]]-Production[[#This Row],[Planned downtime (Hrs)]]),"")</f>
        <v>681.08108108108104</v>
      </c>
      <c r="M24" s="42">
        <v>416</v>
      </c>
      <c r="N24" s="42">
        <v>69</v>
      </c>
      <c r="O24" s="43">
        <v>1</v>
      </c>
      <c r="P24" s="44">
        <f>IFERROR(Production[[#This Row],[Defect Quantity]]/(Production[[#This Row],[Defect Quantity]]+Production[[#This Row],[Ok Quantity]]),"")</f>
        <v>0.1422680412371134</v>
      </c>
      <c r="Q24" s="44">
        <f>IFERROR(IF(Production[[#This Row],[Ok Quantity]]="","",Production[[#This Row],[Ok Quantity]]/Production[[#This Row],[Target Quantity]]),"")</f>
        <v>0.61079365079365078</v>
      </c>
      <c r="R24" s="41">
        <f>IFERROR(VLOOKUP(Production[[#This Row],[Product]],Database!B:E,4,0)*Production[[#This Row],[Defect Quantity]],"")</f>
        <v>3795</v>
      </c>
      <c r="S24" s="41">
        <f>IFERROR(VLOOKUP(Production[[#This Row],[Line]],Database!L:M,2,0)*(Production[[#This Row],[Lose Time (Hrs)]]),"")</f>
        <v>2000</v>
      </c>
      <c r="T24" s="41">
        <f>IFERROR(Production[[#This Row],[Lose Time Cost]]+Production[[#This Row],[Defect Cost]],"")</f>
        <v>5795</v>
      </c>
      <c r="U24" s="45">
        <f>IFERROR(3600/VLOOKUP(Production[[#This Row],[Product]],Database!B:E,2,0),"")</f>
        <v>97.297297297297291</v>
      </c>
      <c r="V24" s="45">
        <f>IFERROR(Production[[#This Row],[UPH]]/VLOOKUP(Production[[#This Row],[Product]],Database!B:E,3,0),"")</f>
        <v>32.432432432432428</v>
      </c>
      <c r="W24" s="46">
        <f>IFERROR(Production[[#This Row],[Actual Run Time (Hrs)]]/Production[[#This Row],[Breakdowns]],"")</f>
        <v>5</v>
      </c>
      <c r="X24" s="46">
        <f>IFERROR(Production[[#This Row],[Lose Time (Hrs)]]/Production[[#This Row],[Breakdowns]],"")</f>
        <v>2</v>
      </c>
      <c r="Y24" s="44">
        <f>IFERROR(IF(Production[[#This Row],[Actual Run Time (Hrs)]]="","",Production[[#This Row],[Actual Run Time (Hrs)]]/(Production[[#This Row],[Available time (Hrs)]]-Production[[#This Row],[Planned downtime (Hrs)]])),"")</f>
        <v>0.7142857142857143</v>
      </c>
      <c r="Z24" s="47">
        <f>IFERROR((IF(Production[[#This Row],[Ok Quantity]]="","",Production[[#This Row],[Ok Quantity]]+Production[[#This Row],[Defect Quantity]])/Production[[#This Row],[Target Quantity]]),"")</f>
        <v>0.71210317460317463</v>
      </c>
      <c r="AA24" s="47">
        <f>IFERROR(Production[[#This Row],[Ok Quantity]]/(Production[[#This Row],[Ok Quantity]]+Production[[#This Row],[Defect Quantity]]),"")</f>
        <v>0.85773195876288655</v>
      </c>
      <c r="AB24" s="44">
        <f>IFERROR(Production[[#This Row],[Quality %]]*Production[[#This Row],[Performance %]]*Production[[#This Row],[Availability %]],"")</f>
        <v>0.43628117913832198</v>
      </c>
    </row>
    <row r="25" spans="1:28" x14ac:dyDescent="0.25">
      <c r="A25" s="91" t="str">
        <f t="shared" si="0"/>
        <v/>
      </c>
      <c r="B25" s="26">
        <v>42904</v>
      </c>
      <c r="C25" s="28">
        <v>2</v>
      </c>
      <c r="D25" s="9" t="s">
        <v>27</v>
      </c>
      <c r="E25" s="9" t="s">
        <v>20</v>
      </c>
      <c r="F25" s="31">
        <v>4</v>
      </c>
      <c r="G25" s="33">
        <f>IFERROR(VLOOKUP(Production[[#This Row],[Shift]],Database!G:H,2,0),"")</f>
        <v>8</v>
      </c>
      <c r="H25" s="31">
        <v>1</v>
      </c>
      <c r="I25" s="33">
        <f>IFERROR(Production[[#This Row],[Available time (Hrs)]]-Production[[#This Row],[Planned downtime (Hrs)]],"")</f>
        <v>7</v>
      </c>
      <c r="J25" s="33">
        <f>IF(Production[[#This Row],[Available time (Hrs)]]="","",Production[[#This Row],[Available time (Hrs)]]-Production[[#This Row],[Actual Run Time (Hrs)]]-Production[[#This Row],[Planned downtime (Hrs)]])</f>
        <v>3</v>
      </c>
      <c r="K25" s="9" t="s">
        <v>36</v>
      </c>
      <c r="L25" s="41">
        <f>IFERROR(Production[[#This Row],[UPH]]*(Production[[#This Row],[Available time (Hrs)]]-Production[[#This Row],[Planned downtime (Hrs)]]),"")</f>
        <v>720</v>
      </c>
      <c r="M25" s="42">
        <v>441</v>
      </c>
      <c r="N25" s="42">
        <v>84</v>
      </c>
      <c r="O25" s="43">
        <v>1</v>
      </c>
      <c r="P25" s="44">
        <f>IFERROR(Production[[#This Row],[Defect Quantity]]/(Production[[#This Row],[Defect Quantity]]+Production[[#This Row],[Ok Quantity]]),"")</f>
        <v>0.16</v>
      </c>
      <c r="Q25" s="44">
        <f>IFERROR(IF(Production[[#This Row],[Ok Quantity]]="","",Production[[#This Row],[Ok Quantity]]/Production[[#This Row],[Target Quantity]]),"")</f>
        <v>0.61250000000000004</v>
      </c>
      <c r="R25" s="41">
        <f>IFERROR(VLOOKUP(Production[[#This Row],[Product]],Database!B:E,4,0)*Production[[#This Row],[Defect Quantity]],"")</f>
        <v>4200</v>
      </c>
      <c r="S25" s="41">
        <f>IFERROR(VLOOKUP(Production[[#This Row],[Line]],Database!L:M,2,0)*(Production[[#This Row],[Lose Time (Hrs)]]),"")</f>
        <v>3000</v>
      </c>
      <c r="T25" s="41">
        <f>IFERROR(Production[[#This Row],[Lose Time Cost]]+Production[[#This Row],[Defect Cost]],"")</f>
        <v>7200</v>
      </c>
      <c r="U25" s="45">
        <f>IFERROR(3600/VLOOKUP(Production[[#This Row],[Product]],Database!B:E,2,0),"")</f>
        <v>102.85714285714286</v>
      </c>
      <c r="V25" s="45">
        <f>IFERROR(Production[[#This Row],[UPH]]/VLOOKUP(Production[[#This Row],[Product]],Database!B:E,3,0),"")</f>
        <v>34.285714285714285</v>
      </c>
      <c r="W25" s="46">
        <f>IFERROR(Production[[#This Row],[Actual Run Time (Hrs)]]/Production[[#This Row],[Breakdowns]],"")</f>
        <v>4</v>
      </c>
      <c r="X25" s="46">
        <f>IFERROR(Production[[#This Row],[Lose Time (Hrs)]]/Production[[#This Row],[Breakdowns]],"")</f>
        <v>3</v>
      </c>
      <c r="Y25" s="44">
        <f>IFERROR(IF(Production[[#This Row],[Actual Run Time (Hrs)]]="","",Production[[#This Row],[Actual Run Time (Hrs)]]/(Production[[#This Row],[Available time (Hrs)]]-Production[[#This Row],[Planned downtime (Hrs)]])),"")</f>
        <v>0.5714285714285714</v>
      </c>
      <c r="Z25" s="47">
        <f>IFERROR((IF(Production[[#This Row],[Ok Quantity]]="","",Production[[#This Row],[Ok Quantity]]+Production[[#This Row],[Defect Quantity]])/Production[[#This Row],[Target Quantity]]),"")</f>
        <v>0.72916666666666663</v>
      </c>
      <c r="AA25" s="47">
        <f>IFERROR(Production[[#This Row],[Ok Quantity]]/(Production[[#This Row],[Ok Quantity]]+Production[[#This Row],[Defect Quantity]]),"")</f>
        <v>0.84</v>
      </c>
      <c r="AB25" s="44">
        <f>IFERROR(Production[[#This Row],[Quality %]]*Production[[#This Row],[Performance %]]*Production[[#This Row],[Availability %]],"")</f>
        <v>0.34999999999999992</v>
      </c>
    </row>
    <row r="26" spans="1:28" x14ac:dyDescent="0.25">
      <c r="A26" s="91" t="str">
        <f t="shared" si="0"/>
        <v/>
      </c>
      <c r="B26" s="26">
        <v>42580</v>
      </c>
      <c r="C26" s="28">
        <v>2</v>
      </c>
      <c r="D26" s="9" t="s">
        <v>27</v>
      </c>
      <c r="E26" s="9" t="s">
        <v>22</v>
      </c>
      <c r="F26" s="31">
        <v>6</v>
      </c>
      <c r="G26" s="33">
        <f>IFERROR(VLOOKUP(Production[[#This Row],[Shift]],Database!G:H,2,0),"")</f>
        <v>8</v>
      </c>
      <c r="H26" s="31">
        <v>1</v>
      </c>
      <c r="I26" s="33">
        <f>IFERROR(Production[[#This Row],[Available time (Hrs)]]-Production[[#This Row],[Planned downtime (Hrs)]],"")</f>
        <v>7</v>
      </c>
      <c r="J26" s="33">
        <f>IF(Production[[#This Row],[Available time (Hrs)]]="","",Production[[#This Row],[Available time (Hrs)]]-Production[[#This Row],[Actual Run Time (Hrs)]]-Production[[#This Row],[Planned downtime (Hrs)]])</f>
        <v>1</v>
      </c>
      <c r="K26" s="9" t="s">
        <v>36</v>
      </c>
      <c r="L26" s="41">
        <f>IFERROR(Production[[#This Row],[UPH]]*(Production[[#This Row],[Available time (Hrs)]]-Production[[#This Row],[Planned downtime (Hrs)]]),"")</f>
        <v>681.08108108108104</v>
      </c>
      <c r="M26" s="42">
        <v>469</v>
      </c>
      <c r="N26" s="42">
        <v>57</v>
      </c>
      <c r="O26" s="43">
        <v>1</v>
      </c>
      <c r="P26" s="44">
        <f>IFERROR(Production[[#This Row],[Defect Quantity]]/(Production[[#This Row],[Defect Quantity]]+Production[[#This Row],[Ok Quantity]]),"")</f>
        <v>0.10836501901140684</v>
      </c>
      <c r="Q26" s="44">
        <f>IFERROR(IF(Production[[#This Row],[Ok Quantity]]="","",Production[[#This Row],[Ok Quantity]]/Production[[#This Row],[Target Quantity]]),"")</f>
        <v>0.68861111111111117</v>
      </c>
      <c r="R26" s="41">
        <f>IFERROR(VLOOKUP(Production[[#This Row],[Product]],Database!B:E,4,0)*Production[[#This Row],[Defect Quantity]],"")</f>
        <v>3135</v>
      </c>
      <c r="S26" s="41">
        <f>IFERROR(VLOOKUP(Production[[#This Row],[Line]],Database!L:M,2,0)*(Production[[#This Row],[Lose Time (Hrs)]]),"")</f>
        <v>1000</v>
      </c>
      <c r="T26" s="41">
        <f>IFERROR(Production[[#This Row],[Lose Time Cost]]+Production[[#This Row],[Defect Cost]],"")</f>
        <v>4135</v>
      </c>
      <c r="U26" s="45">
        <f>IFERROR(3600/VLOOKUP(Production[[#This Row],[Product]],Database!B:E,2,0),"")</f>
        <v>97.297297297297291</v>
      </c>
      <c r="V26" s="45">
        <f>IFERROR(Production[[#This Row],[UPH]]/VLOOKUP(Production[[#This Row],[Product]],Database!B:E,3,0),"")</f>
        <v>32.432432432432428</v>
      </c>
      <c r="W26" s="46">
        <f>IFERROR(Production[[#This Row],[Actual Run Time (Hrs)]]/Production[[#This Row],[Breakdowns]],"")</f>
        <v>6</v>
      </c>
      <c r="X26" s="46">
        <f>IFERROR(Production[[#This Row],[Lose Time (Hrs)]]/Production[[#This Row],[Breakdowns]],"")</f>
        <v>1</v>
      </c>
      <c r="Y26" s="44">
        <f>IFERROR(IF(Production[[#This Row],[Actual Run Time (Hrs)]]="","",Production[[#This Row],[Actual Run Time (Hrs)]]/(Production[[#This Row],[Available time (Hrs)]]-Production[[#This Row],[Planned downtime (Hrs)]])),"")</f>
        <v>0.8571428571428571</v>
      </c>
      <c r="Z26" s="47">
        <f>IFERROR((IF(Production[[#This Row],[Ok Quantity]]="","",Production[[#This Row],[Ok Quantity]]+Production[[#This Row],[Defect Quantity]])/Production[[#This Row],[Target Quantity]]),"")</f>
        <v>0.77230158730158738</v>
      </c>
      <c r="AA26" s="47">
        <f>IFERROR(Production[[#This Row],[Ok Quantity]]/(Production[[#This Row],[Ok Quantity]]+Production[[#This Row],[Defect Quantity]]),"")</f>
        <v>0.89163498098859317</v>
      </c>
      <c r="AB26" s="44">
        <f>IFERROR(Production[[#This Row],[Quality %]]*Production[[#This Row],[Performance %]]*Production[[#This Row],[Availability %]],"")</f>
        <v>0.59023809523809523</v>
      </c>
    </row>
    <row r="27" spans="1:28" x14ac:dyDescent="0.25">
      <c r="A27" s="91" t="str">
        <f t="shared" si="0"/>
        <v/>
      </c>
      <c r="B27" s="26">
        <v>42784</v>
      </c>
      <c r="C27" s="28">
        <v>3</v>
      </c>
      <c r="D27" s="9" t="s">
        <v>50</v>
      </c>
      <c r="E27" s="9" t="s">
        <v>23</v>
      </c>
      <c r="F27" s="31">
        <v>6</v>
      </c>
      <c r="G27" s="33">
        <f>IFERROR(VLOOKUP(Production[[#This Row],[Shift]],Database!G:H,2,0),"")</f>
        <v>8</v>
      </c>
      <c r="H27" s="31">
        <v>1</v>
      </c>
      <c r="I27" s="33">
        <f>IFERROR(Production[[#This Row],[Available time (Hrs)]]-Production[[#This Row],[Planned downtime (Hrs)]],"")</f>
        <v>7</v>
      </c>
      <c r="J27" s="33">
        <f>IF(Production[[#This Row],[Available time (Hrs)]]="","",Production[[#This Row],[Available time (Hrs)]]-Production[[#This Row],[Actual Run Time (Hrs)]]-Production[[#This Row],[Planned downtime (Hrs)]])</f>
        <v>1</v>
      </c>
      <c r="K27" s="9" t="s">
        <v>32</v>
      </c>
      <c r="L27" s="41">
        <f>IFERROR(Production[[#This Row],[UPH]]*(Production[[#This Row],[Available time (Hrs)]]-Production[[#This Row],[Planned downtime (Hrs)]]),"")</f>
        <v>600</v>
      </c>
      <c r="M27" s="42">
        <v>424</v>
      </c>
      <c r="N27" s="42">
        <v>66</v>
      </c>
      <c r="O27" s="43">
        <v>2</v>
      </c>
      <c r="P27" s="44">
        <f>IFERROR(Production[[#This Row],[Defect Quantity]]/(Production[[#This Row],[Defect Quantity]]+Production[[#This Row],[Ok Quantity]]),"")</f>
        <v>0.13469387755102041</v>
      </c>
      <c r="Q27" s="44">
        <f>IFERROR(IF(Production[[#This Row],[Ok Quantity]]="","",Production[[#This Row],[Ok Quantity]]/Production[[#This Row],[Target Quantity]]),"")</f>
        <v>0.70666666666666667</v>
      </c>
      <c r="R27" s="41">
        <f>IFERROR(VLOOKUP(Production[[#This Row],[Product]],Database!B:E,4,0)*Production[[#This Row],[Defect Quantity]],"")</f>
        <v>2310</v>
      </c>
      <c r="S27" s="41">
        <f>IFERROR(VLOOKUP(Production[[#This Row],[Line]],Database!L:M,2,0)*(Production[[#This Row],[Lose Time (Hrs)]]),"")</f>
        <v>1500</v>
      </c>
      <c r="T27" s="41">
        <f>IFERROR(Production[[#This Row],[Lose Time Cost]]+Production[[#This Row],[Defect Cost]],"")</f>
        <v>3810</v>
      </c>
      <c r="U27" s="45">
        <f>IFERROR(3600/VLOOKUP(Production[[#This Row],[Product]],Database!B:E,2,0),"")</f>
        <v>85.714285714285708</v>
      </c>
      <c r="V27" s="45">
        <f>IFERROR(Production[[#This Row],[UPH]]/VLOOKUP(Production[[#This Row],[Product]],Database!B:E,3,0),"")</f>
        <v>17.142857142857142</v>
      </c>
      <c r="W27" s="46">
        <f>IFERROR(Production[[#This Row],[Actual Run Time (Hrs)]]/Production[[#This Row],[Breakdowns]],"")</f>
        <v>3</v>
      </c>
      <c r="X27" s="46">
        <f>IFERROR(Production[[#This Row],[Lose Time (Hrs)]]/Production[[#This Row],[Breakdowns]],"")</f>
        <v>0.5</v>
      </c>
      <c r="Y27" s="44">
        <f>IFERROR(IF(Production[[#This Row],[Actual Run Time (Hrs)]]="","",Production[[#This Row],[Actual Run Time (Hrs)]]/(Production[[#This Row],[Available time (Hrs)]]-Production[[#This Row],[Planned downtime (Hrs)]])),"")</f>
        <v>0.8571428571428571</v>
      </c>
      <c r="Z27" s="47">
        <f>IFERROR((IF(Production[[#This Row],[Ok Quantity]]="","",Production[[#This Row],[Ok Quantity]]+Production[[#This Row],[Defect Quantity]])/Production[[#This Row],[Target Quantity]]),"")</f>
        <v>0.81666666666666665</v>
      </c>
      <c r="AA27" s="47">
        <f>IFERROR(Production[[#This Row],[Ok Quantity]]/(Production[[#This Row],[Ok Quantity]]+Production[[#This Row],[Defect Quantity]]),"")</f>
        <v>0.86530612244897964</v>
      </c>
      <c r="AB27" s="44">
        <f>IFERROR(Production[[#This Row],[Quality %]]*Production[[#This Row],[Performance %]]*Production[[#This Row],[Availability %]],"")</f>
        <v>0.60571428571428565</v>
      </c>
    </row>
    <row r="28" spans="1:28" x14ac:dyDescent="0.25">
      <c r="A28" s="91" t="str">
        <f t="shared" si="0"/>
        <v/>
      </c>
      <c r="B28" s="26">
        <v>43591</v>
      </c>
      <c r="C28" s="28">
        <v>1</v>
      </c>
      <c r="D28" s="9" t="s">
        <v>28</v>
      </c>
      <c r="E28" s="9" t="s">
        <v>19</v>
      </c>
      <c r="F28" s="31">
        <v>6</v>
      </c>
      <c r="G28" s="33">
        <f>IFERROR(VLOOKUP(Production[[#This Row],[Shift]],Database!G:H,2,0),"")</f>
        <v>8</v>
      </c>
      <c r="H28" s="31">
        <v>1</v>
      </c>
      <c r="I28" s="33">
        <f>IFERROR(Production[[#This Row],[Available time (Hrs)]]-Production[[#This Row],[Planned downtime (Hrs)]],"")</f>
        <v>7</v>
      </c>
      <c r="J28" s="33">
        <f>IF(Production[[#This Row],[Available time (Hrs)]]="","",Production[[#This Row],[Available time (Hrs)]]-Production[[#This Row],[Actual Run Time (Hrs)]]-Production[[#This Row],[Planned downtime (Hrs)]])</f>
        <v>1</v>
      </c>
      <c r="K28" s="9" t="s">
        <v>33</v>
      </c>
      <c r="L28" s="41">
        <f>IFERROR(Production[[#This Row],[UPH]]*(Production[[#This Row],[Available time (Hrs)]]-Production[[#This Row],[Planned downtime (Hrs)]]),"")</f>
        <v>630</v>
      </c>
      <c r="M28" s="42">
        <v>442</v>
      </c>
      <c r="N28" s="42">
        <v>73</v>
      </c>
      <c r="O28" s="43">
        <v>1</v>
      </c>
      <c r="P28" s="44">
        <f>IFERROR(Production[[#This Row],[Defect Quantity]]/(Production[[#This Row],[Defect Quantity]]+Production[[#This Row],[Ok Quantity]]),"")</f>
        <v>0.14174757281553399</v>
      </c>
      <c r="Q28" s="44">
        <f>IFERROR(IF(Production[[#This Row],[Ok Quantity]]="","",Production[[#This Row],[Ok Quantity]]/Production[[#This Row],[Target Quantity]]),"")</f>
        <v>0.70158730158730154</v>
      </c>
      <c r="R28" s="41">
        <f>IFERROR(VLOOKUP(Production[[#This Row],[Product]],Database!B:E,4,0)*Production[[#This Row],[Defect Quantity]],"")</f>
        <v>4380</v>
      </c>
      <c r="S28" s="41">
        <f>IFERROR(VLOOKUP(Production[[#This Row],[Line]],Database!L:M,2,0)*(Production[[#This Row],[Lose Time (Hrs)]]),"")</f>
        <v>1200</v>
      </c>
      <c r="T28" s="41">
        <f>IFERROR(Production[[#This Row],[Lose Time Cost]]+Production[[#This Row],[Defect Cost]],"")</f>
        <v>5580</v>
      </c>
      <c r="U28" s="45">
        <f>IFERROR(3600/VLOOKUP(Production[[#This Row],[Product]],Database!B:E,2,0),"")</f>
        <v>90</v>
      </c>
      <c r="V28" s="45">
        <f>IFERROR(Production[[#This Row],[UPH]]/VLOOKUP(Production[[#This Row],[Product]],Database!B:E,3,0),"")</f>
        <v>22.5</v>
      </c>
      <c r="W28" s="46">
        <f>IFERROR(Production[[#This Row],[Actual Run Time (Hrs)]]/Production[[#This Row],[Breakdowns]],"")</f>
        <v>6</v>
      </c>
      <c r="X28" s="46">
        <f>IFERROR(Production[[#This Row],[Lose Time (Hrs)]]/Production[[#This Row],[Breakdowns]],"")</f>
        <v>1</v>
      </c>
      <c r="Y28" s="44">
        <f>IFERROR(IF(Production[[#This Row],[Actual Run Time (Hrs)]]="","",Production[[#This Row],[Actual Run Time (Hrs)]]/(Production[[#This Row],[Available time (Hrs)]]-Production[[#This Row],[Planned downtime (Hrs)]])),"")</f>
        <v>0.8571428571428571</v>
      </c>
      <c r="Z28" s="47">
        <f>IFERROR((IF(Production[[#This Row],[Ok Quantity]]="","",Production[[#This Row],[Ok Quantity]]+Production[[#This Row],[Defect Quantity]])/Production[[#This Row],[Target Quantity]]),"")</f>
        <v>0.81746031746031744</v>
      </c>
      <c r="AA28" s="47">
        <f>IFERROR(Production[[#This Row],[Ok Quantity]]/(Production[[#This Row],[Ok Quantity]]+Production[[#This Row],[Defect Quantity]]),"")</f>
        <v>0.85825242718446604</v>
      </c>
      <c r="AB28" s="44">
        <f>IFERROR(Production[[#This Row],[Quality %]]*Production[[#This Row],[Performance %]]*Production[[#This Row],[Availability %]],"")</f>
        <v>0.60136054421768703</v>
      </c>
    </row>
    <row r="29" spans="1:28" x14ac:dyDescent="0.25">
      <c r="A29" s="91" t="str">
        <f t="shared" si="0"/>
        <v/>
      </c>
      <c r="B29" s="26">
        <v>43515</v>
      </c>
      <c r="C29" s="28">
        <v>1</v>
      </c>
      <c r="D29" s="9" t="s">
        <v>27</v>
      </c>
      <c r="E29" s="9" t="s">
        <v>22</v>
      </c>
      <c r="F29" s="31">
        <v>5</v>
      </c>
      <c r="G29" s="33">
        <f>IFERROR(VLOOKUP(Production[[#This Row],[Shift]],Database!G:H,2,0),"")</f>
        <v>8</v>
      </c>
      <c r="H29" s="31">
        <v>1</v>
      </c>
      <c r="I29" s="33">
        <f>IFERROR(Production[[#This Row],[Available time (Hrs)]]-Production[[#This Row],[Planned downtime (Hrs)]],"")</f>
        <v>7</v>
      </c>
      <c r="J29" s="33">
        <f>IF(Production[[#This Row],[Available time (Hrs)]]="","",Production[[#This Row],[Available time (Hrs)]]-Production[[#This Row],[Actual Run Time (Hrs)]]-Production[[#This Row],[Planned downtime (Hrs)]])</f>
        <v>2</v>
      </c>
      <c r="K29" s="9" t="s">
        <v>35</v>
      </c>
      <c r="L29" s="41">
        <f>IFERROR(Production[[#This Row],[UPH]]*(Production[[#This Row],[Available time (Hrs)]]-Production[[#This Row],[Planned downtime (Hrs)]]),"")</f>
        <v>681.08108108108104</v>
      </c>
      <c r="M29" s="42">
        <v>428</v>
      </c>
      <c r="N29" s="42">
        <v>74</v>
      </c>
      <c r="O29" s="43">
        <v>2</v>
      </c>
      <c r="P29" s="44">
        <f>IFERROR(Production[[#This Row],[Defect Quantity]]/(Production[[#This Row],[Defect Quantity]]+Production[[#This Row],[Ok Quantity]]),"")</f>
        <v>0.14741035856573706</v>
      </c>
      <c r="Q29" s="44">
        <f>IFERROR(IF(Production[[#This Row],[Ok Quantity]]="","",Production[[#This Row],[Ok Quantity]]/Production[[#This Row],[Target Quantity]]),"")</f>
        <v>0.62841269841269842</v>
      </c>
      <c r="R29" s="41">
        <f>IFERROR(VLOOKUP(Production[[#This Row],[Product]],Database!B:E,4,0)*Production[[#This Row],[Defect Quantity]],"")</f>
        <v>4070</v>
      </c>
      <c r="S29" s="41">
        <f>IFERROR(VLOOKUP(Production[[#This Row],[Line]],Database!L:M,2,0)*(Production[[#This Row],[Lose Time (Hrs)]]),"")</f>
        <v>2000</v>
      </c>
      <c r="T29" s="41">
        <f>IFERROR(Production[[#This Row],[Lose Time Cost]]+Production[[#This Row],[Defect Cost]],"")</f>
        <v>6070</v>
      </c>
      <c r="U29" s="45">
        <f>IFERROR(3600/VLOOKUP(Production[[#This Row],[Product]],Database!B:E,2,0),"")</f>
        <v>97.297297297297291</v>
      </c>
      <c r="V29" s="45">
        <f>IFERROR(Production[[#This Row],[UPH]]/VLOOKUP(Production[[#This Row],[Product]],Database!B:E,3,0),"")</f>
        <v>32.432432432432428</v>
      </c>
      <c r="W29" s="46">
        <f>IFERROR(Production[[#This Row],[Actual Run Time (Hrs)]]/Production[[#This Row],[Breakdowns]],"")</f>
        <v>2.5</v>
      </c>
      <c r="X29" s="46">
        <f>IFERROR(Production[[#This Row],[Lose Time (Hrs)]]/Production[[#This Row],[Breakdowns]],"")</f>
        <v>1</v>
      </c>
      <c r="Y29" s="44">
        <f>IFERROR(IF(Production[[#This Row],[Actual Run Time (Hrs)]]="","",Production[[#This Row],[Actual Run Time (Hrs)]]/(Production[[#This Row],[Available time (Hrs)]]-Production[[#This Row],[Planned downtime (Hrs)]])),"")</f>
        <v>0.7142857142857143</v>
      </c>
      <c r="Z29" s="47">
        <f>IFERROR((IF(Production[[#This Row],[Ok Quantity]]="","",Production[[#This Row],[Ok Quantity]]+Production[[#This Row],[Defect Quantity]])/Production[[#This Row],[Target Quantity]]),"")</f>
        <v>0.73706349206349209</v>
      </c>
      <c r="AA29" s="47">
        <f>IFERROR(Production[[#This Row],[Ok Quantity]]/(Production[[#This Row],[Ok Quantity]]+Production[[#This Row],[Defect Quantity]]),"")</f>
        <v>0.85258964143426297</v>
      </c>
      <c r="AB29" s="44">
        <f>IFERROR(Production[[#This Row],[Quality %]]*Production[[#This Row],[Performance %]]*Production[[#This Row],[Availability %]],"")</f>
        <v>0.44886621315192743</v>
      </c>
    </row>
    <row r="30" spans="1:28" x14ac:dyDescent="0.25">
      <c r="A30" s="91" t="str">
        <f t="shared" si="0"/>
        <v/>
      </c>
      <c r="B30" s="26">
        <v>43668</v>
      </c>
      <c r="C30" s="28">
        <v>1</v>
      </c>
      <c r="D30" s="9" t="s">
        <v>27</v>
      </c>
      <c r="E30" s="9" t="s">
        <v>24</v>
      </c>
      <c r="F30" s="31">
        <v>7</v>
      </c>
      <c r="G30" s="33">
        <f>IFERROR(VLOOKUP(Production[[#This Row],[Shift]],Database!G:H,2,0),"")</f>
        <v>8</v>
      </c>
      <c r="H30" s="31">
        <v>1</v>
      </c>
      <c r="I30" s="33">
        <f>IFERROR(Production[[#This Row],[Available time (Hrs)]]-Production[[#This Row],[Planned downtime (Hrs)]],"")</f>
        <v>7</v>
      </c>
      <c r="J30" s="33">
        <f>IF(Production[[#This Row],[Available time (Hrs)]]="","",Production[[#This Row],[Available time (Hrs)]]-Production[[#This Row],[Actual Run Time (Hrs)]]-Production[[#This Row],[Planned downtime (Hrs)]])</f>
        <v>0</v>
      </c>
      <c r="L30" s="41">
        <f>IFERROR(Production[[#This Row],[UPH]]*(Production[[#This Row],[Available time (Hrs)]]-Production[[#This Row],[Planned downtime (Hrs)]]),"")</f>
        <v>663.1578947368422</v>
      </c>
      <c r="M30" s="42">
        <v>459</v>
      </c>
      <c r="N30" s="42">
        <v>62</v>
      </c>
      <c r="O30" s="43">
        <v>0</v>
      </c>
      <c r="P30" s="44">
        <f>IFERROR(Production[[#This Row],[Defect Quantity]]/(Production[[#This Row],[Defect Quantity]]+Production[[#This Row],[Ok Quantity]]),"")</f>
        <v>0.11900191938579655</v>
      </c>
      <c r="Q30" s="44">
        <f>IFERROR(IF(Production[[#This Row],[Ok Quantity]]="","",Production[[#This Row],[Ok Quantity]]/Production[[#This Row],[Target Quantity]]),"")</f>
        <v>0.69214285714285706</v>
      </c>
      <c r="R30" s="41">
        <f>IFERROR(VLOOKUP(Production[[#This Row],[Product]],Database!B:E,4,0)*Production[[#This Row],[Defect Quantity]],"")</f>
        <v>2604</v>
      </c>
      <c r="S30" s="41">
        <f>IFERROR(VLOOKUP(Production[[#This Row],[Line]],Database!L:M,2,0)*(Production[[#This Row],[Lose Time (Hrs)]]),"")</f>
        <v>0</v>
      </c>
      <c r="T30" s="41">
        <f>IFERROR(Production[[#This Row],[Lose Time Cost]]+Production[[#This Row],[Defect Cost]],"")</f>
        <v>2604</v>
      </c>
      <c r="U30" s="45">
        <f>IFERROR(3600/VLOOKUP(Production[[#This Row],[Product]],Database!B:E,2,0),"")</f>
        <v>94.736842105263165</v>
      </c>
      <c r="V30" s="45">
        <f>IFERROR(Production[[#This Row],[UPH]]/VLOOKUP(Production[[#This Row],[Product]],Database!B:E,3,0),"")</f>
        <v>47.368421052631582</v>
      </c>
      <c r="W30" s="46" t="str">
        <f>IFERROR(Production[[#This Row],[Actual Run Time (Hrs)]]/Production[[#This Row],[Breakdowns]],"")</f>
        <v/>
      </c>
      <c r="X30" s="46" t="str">
        <f>IFERROR(Production[[#This Row],[Lose Time (Hrs)]]/Production[[#This Row],[Breakdowns]],"")</f>
        <v/>
      </c>
      <c r="Y30" s="44">
        <f>IFERROR(IF(Production[[#This Row],[Actual Run Time (Hrs)]]="","",Production[[#This Row],[Actual Run Time (Hrs)]]/(Production[[#This Row],[Available time (Hrs)]]-Production[[#This Row],[Planned downtime (Hrs)]])),"")</f>
        <v>1</v>
      </c>
      <c r="Z30" s="47">
        <f>IFERROR((IF(Production[[#This Row],[Ok Quantity]]="","",Production[[#This Row],[Ok Quantity]]+Production[[#This Row],[Defect Quantity]])/Production[[#This Row],[Target Quantity]]),"")</f>
        <v>0.78563492063492057</v>
      </c>
      <c r="AA30" s="47">
        <f>IFERROR(Production[[#This Row],[Ok Quantity]]/(Production[[#This Row],[Ok Quantity]]+Production[[#This Row],[Defect Quantity]]),"")</f>
        <v>0.88099808061420348</v>
      </c>
      <c r="AB30" s="44">
        <f>IFERROR(Production[[#This Row],[Quality %]]*Production[[#This Row],[Performance %]]*Production[[#This Row],[Availability %]],"")</f>
        <v>0.69214285714285706</v>
      </c>
    </row>
    <row r="31" spans="1:28" x14ac:dyDescent="0.25">
      <c r="A31" s="91" t="str">
        <f t="shared" si="0"/>
        <v/>
      </c>
      <c r="B31" s="26">
        <v>43628</v>
      </c>
      <c r="C31" s="28">
        <v>1</v>
      </c>
      <c r="D31" s="9" t="s">
        <v>29</v>
      </c>
      <c r="E31" s="9" t="s">
        <v>20</v>
      </c>
      <c r="F31" s="31">
        <v>7</v>
      </c>
      <c r="G31" s="33">
        <f>IFERROR(VLOOKUP(Production[[#This Row],[Shift]],Database!G:H,2,0),"")</f>
        <v>8</v>
      </c>
      <c r="H31" s="31">
        <v>1</v>
      </c>
      <c r="I31" s="33">
        <f>IFERROR(Production[[#This Row],[Available time (Hrs)]]-Production[[#This Row],[Planned downtime (Hrs)]],"")</f>
        <v>7</v>
      </c>
      <c r="J31" s="33">
        <f>IF(Production[[#This Row],[Available time (Hrs)]]="","",Production[[#This Row],[Available time (Hrs)]]-Production[[#This Row],[Actual Run Time (Hrs)]]-Production[[#This Row],[Planned downtime (Hrs)]])</f>
        <v>0</v>
      </c>
      <c r="L31" s="41">
        <f>IFERROR(Production[[#This Row],[UPH]]*(Production[[#This Row],[Available time (Hrs)]]-Production[[#This Row],[Planned downtime (Hrs)]]),"")</f>
        <v>720</v>
      </c>
      <c r="M31" s="42">
        <v>472</v>
      </c>
      <c r="N31" s="42">
        <v>52</v>
      </c>
      <c r="O31" s="43">
        <v>0</v>
      </c>
      <c r="P31" s="44">
        <f>IFERROR(Production[[#This Row],[Defect Quantity]]/(Production[[#This Row],[Defect Quantity]]+Production[[#This Row],[Ok Quantity]]),"")</f>
        <v>9.9236641221374045E-2</v>
      </c>
      <c r="Q31" s="44">
        <f>IFERROR(IF(Production[[#This Row],[Ok Quantity]]="","",Production[[#This Row],[Ok Quantity]]/Production[[#This Row],[Target Quantity]]),"")</f>
        <v>0.65555555555555556</v>
      </c>
      <c r="R31" s="41">
        <f>IFERROR(VLOOKUP(Production[[#This Row],[Product]],Database!B:E,4,0)*Production[[#This Row],[Defect Quantity]],"")</f>
        <v>2600</v>
      </c>
      <c r="S31" s="41">
        <f>IFERROR(VLOOKUP(Production[[#This Row],[Line]],Database!L:M,2,0)*(Production[[#This Row],[Lose Time (Hrs)]]),"")</f>
        <v>0</v>
      </c>
      <c r="T31" s="41">
        <f>IFERROR(Production[[#This Row],[Lose Time Cost]]+Production[[#This Row],[Defect Cost]],"")</f>
        <v>2600</v>
      </c>
      <c r="U31" s="45">
        <f>IFERROR(3600/VLOOKUP(Production[[#This Row],[Product]],Database!B:E,2,0),"")</f>
        <v>102.85714285714286</v>
      </c>
      <c r="V31" s="45">
        <f>IFERROR(Production[[#This Row],[UPH]]/VLOOKUP(Production[[#This Row],[Product]],Database!B:E,3,0),"")</f>
        <v>34.285714285714285</v>
      </c>
      <c r="W31" s="46" t="str">
        <f>IFERROR(Production[[#This Row],[Actual Run Time (Hrs)]]/Production[[#This Row],[Breakdowns]],"")</f>
        <v/>
      </c>
      <c r="X31" s="46" t="str">
        <f>IFERROR(Production[[#This Row],[Lose Time (Hrs)]]/Production[[#This Row],[Breakdowns]],"")</f>
        <v/>
      </c>
      <c r="Y31" s="44">
        <f>IFERROR(IF(Production[[#This Row],[Actual Run Time (Hrs)]]="","",Production[[#This Row],[Actual Run Time (Hrs)]]/(Production[[#This Row],[Available time (Hrs)]]-Production[[#This Row],[Planned downtime (Hrs)]])),"")</f>
        <v>1</v>
      </c>
      <c r="Z31" s="47">
        <f>IFERROR((IF(Production[[#This Row],[Ok Quantity]]="","",Production[[#This Row],[Ok Quantity]]+Production[[#This Row],[Defect Quantity]])/Production[[#This Row],[Target Quantity]]),"")</f>
        <v>0.72777777777777775</v>
      </c>
      <c r="AA31" s="47">
        <f>IFERROR(Production[[#This Row],[Ok Quantity]]/(Production[[#This Row],[Ok Quantity]]+Production[[#This Row],[Defect Quantity]]),"")</f>
        <v>0.9007633587786259</v>
      </c>
      <c r="AB31" s="44">
        <f>IFERROR(Production[[#This Row],[Quality %]]*Production[[#This Row],[Performance %]]*Production[[#This Row],[Availability %]],"")</f>
        <v>0.65555555555555545</v>
      </c>
    </row>
    <row r="32" spans="1:28" x14ac:dyDescent="0.25">
      <c r="A32" s="91" t="str">
        <f t="shared" si="0"/>
        <v/>
      </c>
      <c r="B32" s="26">
        <v>42902</v>
      </c>
      <c r="C32" s="28">
        <v>2</v>
      </c>
      <c r="D32" s="9" t="s">
        <v>51</v>
      </c>
      <c r="E32" s="9" t="s">
        <v>19</v>
      </c>
      <c r="F32" s="31">
        <v>4</v>
      </c>
      <c r="G32" s="33">
        <f>IFERROR(VLOOKUP(Production[[#This Row],[Shift]],Database!G:H,2,0),"")</f>
        <v>8</v>
      </c>
      <c r="H32" s="31">
        <v>1</v>
      </c>
      <c r="I32" s="33">
        <f>IFERROR(Production[[#This Row],[Available time (Hrs)]]-Production[[#This Row],[Planned downtime (Hrs)]],"")</f>
        <v>7</v>
      </c>
      <c r="J32" s="33">
        <f>IF(Production[[#This Row],[Available time (Hrs)]]="","",Production[[#This Row],[Available time (Hrs)]]-Production[[#This Row],[Actual Run Time (Hrs)]]-Production[[#This Row],[Planned downtime (Hrs)]])</f>
        <v>3</v>
      </c>
      <c r="K32" s="9" t="s">
        <v>37</v>
      </c>
      <c r="L32" s="41">
        <f>IFERROR(Production[[#This Row],[UPH]]*(Production[[#This Row],[Available time (Hrs)]]-Production[[#This Row],[Planned downtime (Hrs)]]),"")</f>
        <v>630</v>
      </c>
      <c r="M32" s="42">
        <v>400</v>
      </c>
      <c r="N32" s="42">
        <v>52</v>
      </c>
      <c r="O32" s="43">
        <v>2</v>
      </c>
      <c r="P32" s="44">
        <f>IFERROR(Production[[#This Row],[Defect Quantity]]/(Production[[#This Row],[Defect Quantity]]+Production[[#This Row],[Ok Quantity]]),"")</f>
        <v>0.11504424778761062</v>
      </c>
      <c r="Q32" s="44">
        <f>IFERROR(IF(Production[[#This Row],[Ok Quantity]]="","",Production[[#This Row],[Ok Quantity]]/Production[[#This Row],[Target Quantity]]),"")</f>
        <v>0.63492063492063489</v>
      </c>
      <c r="R32" s="41">
        <f>IFERROR(VLOOKUP(Production[[#This Row],[Product]],Database!B:E,4,0)*Production[[#This Row],[Defect Quantity]],"")</f>
        <v>3120</v>
      </c>
      <c r="S32" s="41">
        <f>IFERROR(VLOOKUP(Production[[#This Row],[Line]],Database!L:M,2,0)*(Production[[#This Row],[Lose Time (Hrs)]]),"")</f>
        <v>3900</v>
      </c>
      <c r="T32" s="41">
        <f>IFERROR(Production[[#This Row],[Lose Time Cost]]+Production[[#This Row],[Defect Cost]],"")</f>
        <v>7020</v>
      </c>
      <c r="U32" s="45">
        <f>IFERROR(3600/VLOOKUP(Production[[#This Row],[Product]],Database!B:E,2,0),"")</f>
        <v>90</v>
      </c>
      <c r="V32" s="45">
        <f>IFERROR(Production[[#This Row],[UPH]]/VLOOKUP(Production[[#This Row],[Product]],Database!B:E,3,0),"")</f>
        <v>22.5</v>
      </c>
      <c r="W32" s="46">
        <f>IFERROR(Production[[#This Row],[Actual Run Time (Hrs)]]/Production[[#This Row],[Breakdowns]],"")</f>
        <v>2</v>
      </c>
      <c r="X32" s="46">
        <f>IFERROR(Production[[#This Row],[Lose Time (Hrs)]]/Production[[#This Row],[Breakdowns]],"")</f>
        <v>1.5</v>
      </c>
      <c r="Y32" s="44">
        <f>IFERROR(IF(Production[[#This Row],[Actual Run Time (Hrs)]]="","",Production[[#This Row],[Actual Run Time (Hrs)]]/(Production[[#This Row],[Available time (Hrs)]]-Production[[#This Row],[Planned downtime (Hrs)]])),"")</f>
        <v>0.5714285714285714</v>
      </c>
      <c r="Z32" s="47">
        <f>IFERROR((IF(Production[[#This Row],[Ok Quantity]]="","",Production[[#This Row],[Ok Quantity]]+Production[[#This Row],[Defect Quantity]])/Production[[#This Row],[Target Quantity]]),"")</f>
        <v>0.71746031746031746</v>
      </c>
      <c r="AA32" s="47">
        <f>IFERROR(Production[[#This Row],[Ok Quantity]]/(Production[[#This Row],[Ok Quantity]]+Production[[#This Row],[Defect Quantity]]),"")</f>
        <v>0.88495575221238942</v>
      </c>
      <c r="AB32" s="44">
        <f>IFERROR(Production[[#This Row],[Quality %]]*Production[[#This Row],[Performance %]]*Production[[#This Row],[Availability %]],"")</f>
        <v>0.36281179138321995</v>
      </c>
    </row>
    <row r="33" spans="1:28" x14ac:dyDescent="0.25">
      <c r="A33" s="91" t="str">
        <f t="shared" si="0"/>
        <v/>
      </c>
      <c r="B33" s="26">
        <v>43806</v>
      </c>
      <c r="C33" s="28">
        <v>3</v>
      </c>
      <c r="D33" s="9" t="s">
        <v>50</v>
      </c>
      <c r="E33" s="9" t="s">
        <v>20</v>
      </c>
      <c r="F33" s="31">
        <v>6</v>
      </c>
      <c r="G33" s="33">
        <f>IFERROR(VLOOKUP(Production[[#This Row],[Shift]],Database!G:H,2,0),"")</f>
        <v>8</v>
      </c>
      <c r="H33" s="31">
        <v>1</v>
      </c>
      <c r="I33" s="33">
        <f>IFERROR(Production[[#This Row],[Available time (Hrs)]]-Production[[#This Row],[Planned downtime (Hrs)]],"")</f>
        <v>7</v>
      </c>
      <c r="J33" s="33">
        <f>IF(Production[[#This Row],[Available time (Hrs)]]="","",Production[[#This Row],[Available time (Hrs)]]-Production[[#This Row],[Actual Run Time (Hrs)]]-Production[[#This Row],[Planned downtime (Hrs)]])</f>
        <v>1</v>
      </c>
      <c r="K33" s="9" t="s">
        <v>36</v>
      </c>
      <c r="L33" s="41">
        <f>IFERROR(Production[[#This Row],[UPH]]*(Production[[#This Row],[Available time (Hrs)]]-Production[[#This Row],[Planned downtime (Hrs)]]),"")</f>
        <v>720</v>
      </c>
      <c r="M33" s="42">
        <v>451</v>
      </c>
      <c r="N33" s="42">
        <v>62</v>
      </c>
      <c r="O33" s="43">
        <v>2</v>
      </c>
      <c r="P33" s="44">
        <f>IFERROR(Production[[#This Row],[Defect Quantity]]/(Production[[#This Row],[Defect Quantity]]+Production[[#This Row],[Ok Quantity]]),"")</f>
        <v>0.12085769980506822</v>
      </c>
      <c r="Q33" s="44">
        <f>IFERROR(IF(Production[[#This Row],[Ok Quantity]]="","",Production[[#This Row],[Ok Quantity]]/Production[[#This Row],[Target Quantity]]),"")</f>
        <v>0.62638888888888888</v>
      </c>
      <c r="R33" s="41">
        <f>IFERROR(VLOOKUP(Production[[#This Row],[Product]],Database!B:E,4,0)*Production[[#This Row],[Defect Quantity]],"")</f>
        <v>3100</v>
      </c>
      <c r="S33" s="41">
        <f>IFERROR(VLOOKUP(Production[[#This Row],[Line]],Database!L:M,2,0)*(Production[[#This Row],[Lose Time (Hrs)]]),"")</f>
        <v>1500</v>
      </c>
      <c r="T33" s="41">
        <f>IFERROR(Production[[#This Row],[Lose Time Cost]]+Production[[#This Row],[Defect Cost]],"")</f>
        <v>4600</v>
      </c>
      <c r="U33" s="45">
        <f>IFERROR(3600/VLOOKUP(Production[[#This Row],[Product]],Database!B:E,2,0),"")</f>
        <v>102.85714285714286</v>
      </c>
      <c r="V33" s="45">
        <f>IFERROR(Production[[#This Row],[UPH]]/VLOOKUP(Production[[#This Row],[Product]],Database!B:E,3,0),"")</f>
        <v>34.285714285714285</v>
      </c>
      <c r="W33" s="46">
        <f>IFERROR(Production[[#This Row],[Actual Run Time (Hrs)]]/Production[[#This Row],[Breakdowns]],"")</f>
        <v>3</v>
      </c>
      <c r="X33" s="46">
        <f>IFERROR(Production[[#This Row],[Lose Time (Hrs)]]/Production[[#This Row],[Breakdowns]],"")</f>
        <v>0.5</v>
      </c>
      <c r="Y33" s="44">
        <f>IFERROR(IF(Production[[#This Row],[Actual Run Time (Hrs)]]="","",Production[[#This Row],[Actual Run Time (Hrs)]]/(Production[[#This Row],[Available time (Hrs)]]-Production[[#This Row],[Planned downtime (Hrs)]])),"")</f>
        <v>0.8571428571428571</v>
      </c>
      <c r="Z33" s="47">
        <f>IFERROR((IF(Production[[#This Row],[Ok Quantity]]="","",Production[[#This Row],[Ok Quantity]]+Production[[#This Row],[Defect Quantity]])/Production[[#This Row],[Target Quantity]]),"")</f>
        <v>0.71250000000000002</v>
      </c>
      <c r="AA33" s="47">
        <f>IFERROR(Production[[#This Row],[Ok Quantity]]/(Production[[#This Row],[Ok Quantity]]+Production[[#This Row],[Defect Quantity]]),"")</f>
        <v>0.87914230019493178</v>
      </c>
      <c r="AB33" s="44">
        <f>IFERROR(Production[[#This Row],[Quality %]]*Production[[#This Row],[Performance %]]*Production[[#This Row],[Availability %]],"")</f>
        <v>0.53690476190476188</v>
      </c>
    </row>
    <row r="34" spans="1:28" x14ac:dyDescent="0.25">
      <c r="A34" s="91" t="str">
        <f t="shared" si="0"/>
        <v/>
      </c>
      <c r="B34" s="26">
        <v>42429</v>
      </c>
      <c r="C34" s="28">
        <v>2</v>
      </c>
      <c r="D34" s="9" t="s">
        <v>50</v>
      </c>
      <c r="E34" s="9" t="s">
        <v>22</v>
      </c>
      <c r="F34" s="31">
        <v>5</v>
      </c>
      <c r="G34" s="33">
        <f>IFERROR(VLOOKUP(Production[[#This Row],[Shift]],Database!G:H,2,0),"")</f>
        <v>8</v>
      </c>
      <c r="H34" s="31">
        <v>1</v>
      </c>
      <c r="I34" s="33">
        <f>IFERROR(Production[[#This Row],[Available time (Hrs)]]-Production[[#This Row],[Planned downtime (Hrs)]],"")</f>
        <v>7</v>
      </c>
      <c r="J34" s="33">
        <f>IF(Production[[#This Row],[Available time (Hrs)]]="","",Production[[#This Row],[Available time (Hrs)]]-Production[[#This Row],[Actual Run Time (Hrs)]]-Production[[#This Row],[Planned downtime (Hrs)]])</f>
        <v>2</v>
      </c>
      <c r="K34" s="9" t="s">
        <v>37</v>
      </c>
      <c r="L34" s="41">
        <f>IFERROR(Production[[#This Row],[UPH]]*(Production[[#This Row],[Available time (Hrs)]]-Production[[#This Row],[Planned downtime (Hrs)]]),"")</f>
        <v>681.08108108108104</v>
      </c>
      <c r="M34" s="42">
        <v>415</v>
      </c>
      <c r="N34" s="42">
        <v>66</v>
      </c>
      <c r="O34" s="43">
        <v>1</v>
      </c>
      <c r="P34" s="44">
        <f>IFERROR(Production[[#This Row],[Defect Quantity]]/(Production[[#This Row],[Defect Quantity]]+Production[[#This Row],[Ok Quantity]]),"")</f>
        <v>0.13721413721413722</v>
      </c>
      <c r="Q34" s="44">
        <f>IFERROR(IF(Production[[#This Row],[Ok Quantity]]="","",Production[[#This Row],[Ok Quantity]]/Production[[#This Row],[Target Quantity]]),"")</f>
        <v>0.60932539682539688</v>
      </c>
      <c r="R34" s="41">
        <f>IFERROR(VLOOKUP(Production[[#This Row],[Product]],Database!B:E,4,0)*Production[[#This Row],[Defect Quantity]],"")</f>
        <v>3630</v>
      </c>
      <c r="S34" s="41">
        <f>IFERROR(VLOOKUP(Production[[#This Row],[Line]],Database!L:M,2,0)*(Production[[#This Row],[Lose Time (Hrs)]]),"")</f>
        <v>3000</v>
      </c>
      <c r="T34" s="41">
        <f>IFERROR(Production[[#This Row],[Lose Time Cost]]+Production[[#This Row],[Defect Cost]],"")</f>
        <v>6630</v>
      </c>
      <c r="U34" s="45">
        <f>IFERROR(3600/VLOOKUP(Production[[#This Row],[Product]],Database!B:E,2,0),"")</f>
        <v>97.297297297297291</v>
      </c>
      <c r="V34" s="45">
        <f>IFERROR(Production[[#This Row],[UPH]]/VLOOKUP(Production[[#This Row],[Product]],Database!B:E,3,0),"")</f>
        <v>32.432432432432428</v>
      </c>
      <c r="W34" s="46">
        <f>IFERROR(Production[[#This Row],[Actual Run Time (Hrs)]]/Production[[#This Row],[Breakdowns]],"")</f>
        <v>5</v>
      </c>
      <c r="X34" s="46">
        <f>IFERROR(Production[[#This Row],[Lose Time (Hrs)]]/Production[[#This Row],[Breakdowns]],"")</f>
        <v>2</v>
      </c>
      <c r="Y34" s="44">
        <f>IFERROR(IF(Production[[#This Row],[Actual Run Time (Hrs)]]="","",Production[[#This Row],[Actual Run Time (Hrs)]]/(Production[[#This Row],[Available time (Hrs)]]-Production[[#This Row],[Planned downtime (Hrs)]])),"")</f>
        <v>0.7142857142857143</v>
      </c>
      <c r="Z34" s="47">
        <f>IFERROR((IF(Production[[#This Row],[Ok Quantity]]="","",Production[[#This Row],[Ok Quantity]]+Production[[#This Row],[Defect Quantity]])/Production[[#This Row],[Target Quantity]]),"")</f>
        <v>0.70623015873015882</v>
      </c>
      <c r="AA34" s="47">
        <f>IFERROR(Production[[#This Row],[Ok Quantity]]/(Production[[#This Row],[Ok Quantity]]+Production[[#This Row],[Defect Quantity]]),"")</f>
        <v>0.86278586278586278</v>
      </c>
      <c r="AB34" s="44">
        <f>IFERROR(Production[[#This Row],[Quality %]]*Production[[#This Row],[Performance %]]*Production[[#This Row],[Availability %]],"")</f>
        <v>0.43523242630385495</v>
      </c>
    </row>
    <row r="35" spans="1:28" x14ac:dyDescent="0.25">
      <c r="A35" s="91" t="str">
        <f t="shared" ref="A35:A66" si="1">IF(AND(B34&lt;&gt;"",B35=""),"New entry---&gt;","")</f>
        <v/>
      </c>
      <c r="B35" s="26">
        <v>42296</v>
      </c>
      <c r="C35" s="28">
        <v>1</v>
      </c>
      <c r="D35" s="9" t="s">
        <v>50</v>
      </c>
      <c r="E35" s="9" t="s">
        <v>25</v>
      </c>
      <c r="F35" s="31">
        <v>7</v>
      </c>
      <c r="G35" s="33">
        <f>IFERROR(VLOOKUP(Production[[#This Row],[Shift]],Database!G:H,2,0),"")</f>
        <v>8</v>
      </c>
      <c r="H35" s="31">
        <v>1</v>
      </c>
      <c r="I35" s="33">
        <f>IFERROR(Production[[#This Row],[Available time (Hrs)]]-Production[[#This Row],[Planned downtime (Hrs)]],"")</f>
        <v>7</v>
      </c>
      <c r="J35" s="33">
        <f>IF(Production[[#This Row],[Available time (Hrs)]]="","",Production[[#This Row],[Available time (Hrs)]]-Production[[#This Row],[Actual Run Time (Hrs)]]-Production[[#This Row],[Planned downtime (Hrs)]])</f>
        <v>0</v>
      </c>
      <c r="L35" s="41">
        <f>IFERROR(Production[[#This Row],[UPH]]*(Production[[#This Row],[Available time (Hrs)]]-Production[[#This Row],[Planned downtime (Hrs)]]),"")</f>
        <v>600</v>
      </c>
      <c r="M35" s="42">
        <v>426</v>
      </c>
      <c r="N35" s="42">
        <v>81</v>
      </c>
      <c r="O35" s="43">
        <v>0</v>
      </c>
      <c r="P35" s="44">
        <f>IFERROR(Production[[#This Row],[Defect Quantity]]/(Production[[#This Row],[Defect Quantity]]+Production[[#This Row],[Ok Quantity]]),"")</f>
        <v>0.15976331360946747</v>
      </c>
      <c r="Q35" s="44">
        <f>IFERROR(IF(Production[[#This Row],[Ok Quantity]]="","",Production[[#This Row],[Ok Quantity]]/Production[[#This Row],[Target Quantity]]),"")</f>
        <v>0.71</v>
      </c>
      <c r="R35" s="41">
        <f>IFERROR(VLOOKUP(Production[[#This Row],[Product]],Database!B:E,4,0)*Production[[#This Row],[Defect Quantity]],"")</f>
        <v>4131</v>
      </c>
      <c r="S35" s="41">
        <f>IFERROR(VLOOKUP(Production[[#This Row],[Line]],Database!L:M,2,0)*(Production[[#This Row],[Lose Time (Hrs)]]),"")</f>
        <v>0</v>
      </c>
      <c r="T35" s="41">
        <f>IFERROR(Production[[#This Row],[Lose Time Cost]]+Production[[#This Row],[Defect Cost]],"")</f>
        <v>4131</v>
      </c>
      <c r="U35" s="45">
        <f>IFERROR(3600/VLOOKUP(Production[[#This Row],[Product]],Database!B:E,2,0),"")</f>
        <v>85.714285714285708</v>
      </c>
      <c r="V35" s="45">
        <f>IFERROR(Production[[#This Row],[UPH]]/VLOOKUP(Production[[#This Row],[Product]],Database!B:E,3,0),"")</f>
        <v>28.571428571428569</v>
      </c>
      <c r="W35" s="46" t="str">
        <f>IFERROR(Production[[#This Row],[Actual Run Time (Hrs)]]/Production[[#This Row],[Breakdowns]],"")</f>
        <v/>
      </c>
      <c r="X35" s="46" t="str">
        <f>IFERROR(Production[[#This Row],[Lose Time (Hrs)]]/Production[[#This Row],[Breakdowns]],"")</f>
        <v/>
      </c>
      <c r="Y35" s="44">
        <f>IFERROR(IF(Production[[#This Row],[Actual Run Time (Hrs)]]="","",Production[[#This Row],[Actual Run Time (Hrs)]]/(Production[[#This Row],[Available time (Hrs)]]-Production[[#This Row],[Planned downtime (Hrs)]])),"")</f>
        <v>1</v>
      </c>
      <c r="Z35" s="47">
        <f>IFERROR((IF(Production[[#This Row],[Ok Quantity]]="","",Production[[#This Row],[Ok Quantity]]+Production[[#This Row],[Defect Quantity]])/Production[[#This Row],[Target Quantity]]),"")</f>
        <v>0.84499999999999997</v>
      </c>
      <c r="AA35" s="47">
        <f>IFERROR(Production[[#This Row],[Ok Quantity]]/(Production[[#This Row],[Ok Quantity]]+Production[[#This Row],[Defect Quantity]]),"")</f>
        <v>0.84023668639053251</v>
      </c>
      <c r="AB35" s="44">
        <f>IFERROR(Production[[#This Row],[Quality %]]*Production[[#This Row],[Performance %]]*Production[[#This Row],[Availability %]],"")</f>
        <v>0.71</v>
      </c>
    </row>
    <row r="36" spans="1:28" x14ac:dyDescent="0.25">
      <c r="A36" s="91" t="str">
        <f t="shared" si="1"/>
        <v/>
      </c>
      <c r="B36" s="26">
        <v>43548</v>
      </c>
      <c r="C36" s="28">
        <v>3</v>
      </c>
      <c r="D36" s="9" t="s">
        <v>29</v>
      </c>
      <c r="E36" s="9" t="s">
        <v>22</v>
      </c>
      <c r="F36" s="31">
        <v>7</v>
      </c>
      <c r="G36" s="33">
        <f>IFERROR(VLOOKUP(Production[[#This Row],[Shift]],Database!G:H,2,0),"")</f>
        <v>8</v>
      </c>
      <c r="H36" s="31">
        <v>1</v>
      </c>
      <c r="I36" s="33">
        <f>IFERROR(Production[[#This Row],[Available time (Hrs)]]-Production[[#This Row],[Planned downtime (Hrs)]],"")</f>
        <v>7</v>
      </c>
      <c r="J36" s="33">
        <f>IF(Production[[#This Row],[Available time (Hrs)]]="","",Production[[#This Row],[Available time (Hrs)]]-Production[[#This Row],[Actual Run Time (Hrs)]]-Production[[#This Row],[Planned downtime (Hrs)]])</f>
        <v>0</v>
      </c>
      <c r="K36" s="9" t="s">
        <v>37</v>
      </c>
      <c r="L36" s="41">
        <f>IFERROR(Production[[#This Row],[UPH]]*(Production[[#This Row],[Available time (Hrs)]]-Production[[#This Row],[Planned downtime (Hrs)]]),"")</f>
        <v>681.08108108108104</v>
      </c>
      <c r="M36" s="42">
        <v>400</v>
      </c>
      <c r="N36" s="42">
        <v>26</v>
      </c>
      <c r="O36" s="43">
        <v>0</v>
      </c>
      <c r="P36" s="44">
        <f>IFERROR(Production[[#This Row],[Defect Quantity]]/(Production[[#This Row],[Defect Quantity]]+Production[[#This Row],[Ok Quantity]]),"")</f>
        <v>6.1032863849765258E-2</v>
      </c>
      <c r="Q36" s="44">
        <f>IFERROR(IF(Production[[#This Row],[Ok Quantity]]="","",Production[[#This Row],[Ok Quantity]]/Production[[#This Row],[Target Quantity]]),"")</f>
        <v>0.58730158730158732</v>
      </c>
      <c r="R36" s="41">
        <f>IFERROR(VLOOKUP(Production[[#This Row],[Product]],Database!B:E,4,0)*Production[[#This Row],[Defect Quantity]],"")</f>
        <v>1430</v>
      </c>
      <c r="S36" s="41">
        <f>IFERROR(VLOOKUP(Production[[#This Row],[Line]],Database!L:M,2,0)*(Production[[#This Row],[Lose Time (Hrs)]]),"")</f>
        <v>0</v>
      </c>
      <c r="T36" s="41">
        <f>IFERROR(Production[[#This Row],[Lose Time Cost]]+Production[[#This Row],[Defect Cost]],"")</f>
        <v>1430</v>
      </c>
      <c r="U36" s="45">
        <f>IFERROR(3600/VLOOKUP(Production[[#This Row],[Product]],Database!B:E,2,0),"")</f>
        <v>97.297297297297291</v>
      </c>
      <c r="V36" s="45">
        <f>IFERROR(Production[[#This Row],[UPH]]/VLOOKUP(Production[[#This Row],[Product]],Database!B:E,3,0),"")</f>
        <v>32.432432432432428</v>
      </c>
      <c r="W36" s="46" t="str">
        <f>IFERROR(Production[[#This Row],[Actual Run Time (Hrs)]]/Production[[#This Row],[Breakdowns]],"")</f>
        <v/>
      </c>
      <c r="X36" s="46" t="str">
        <f>IFERROR(Production[[#This Row],[Lose Time (Hrs)]]/Production[[#This Row],[Breakdowns]],"")</f>
        <v/>
      </c>
      <c r="Y36" s="44">
        <f>IFERROR(IF(Production[[#This Row],[Actual Run Time (Hrs)]]="","",Production[[#This Row],[Actual Run Time (Hrs)]]/(Production[[#This Row],[Available time (Hrs)]]-Production[[#This Row],[Planned downtime (Hrs)]])),"")</f>
        <v>1</v>
      </c>
      <c r="Z36" s="47">
        <f>IFERROR((IF(Production[[#This Row],[Ok Quantity]]="","",Production[[#This Row],[Ok Quantity]]+Production[[#This Row],[Defect Quantity]])/Production[[#This Row],[Target Quantity]]),"")</f>
        <v>0.62547619047619052</v>
      </c>
      <c r="AA36" s="47">
        <f>IFERROR(Production[[#This Row],[Ok Quantity]]/(Production[[#This Row],[Ok Quantity]]+Production[[#This Row],[Defect Quantity]]),"")</f>
        <v>0.93896713615023475</v>
      </c>
      <c r="AB36" s="44">
        <f>IFERROR(Production[[#This Row],[Quality %]]*Production[[#This Row],[Performance %]]*Production[[#This Row],[Availability %]],"")</f>
        <v>0.58730158730158732</v>
      </c>
    </row>
    <row r="37" spans="1:28" x14ac:dyDescent="0.25">
      <c r="A37" s="91" t="str">
        <f t="shared" si="1"/>
        <v/>
      </c>
      <c r="B37" s="26">
        <v>42431</v>
      </c>
      <c r="C37" s="28">
        <v>3</v>
      </c>
      <c r="D37" s="9" t="s">
        <v>29</v>
      </c>
      <c r="E37" s="9" t="s">
        <v>25</v>
      </c>
      <c r="F37" s="31">
        <v>6</v>
      </c>
      <c r="G37" s="33">
        <f>IFERROR(VLOOKUP(Production[[#This Row],[Shift]],Database!G:H,2,0),"")</f>
        <v>8</v>
      </c>
      <c r="H37" s="31">
        <v>1</v>
      </c>
      <c r="I37" s="33">
        <f>IFERROR(Production[[#This Row],[Available time (Hrs)]]-Production[[#This Row],[Planned downtime (Hrs)]],"")</f>
        <v>7</v>
      </c>
      <c r="J37" s="33">
        <f>IF(Production[[#This Row],[Available time (Hrs)]]="","",Production[[#This Row],[Available time (Hrs)]]-Production[[#This Row],[Actual Run Time (Hrs)]]-Production[[#This Row],[Planned downtime (Hrs)]])</f>
        <v>1</v>
      </c>
      <c r="K37" s="9" t="s">
        <v>33</v>
      </c>
      <c r="L37" s="41">
        <f>IFERROR(Production[[#This Row],[UPH]]*(Production[[#This Row],[Available time (Hrs)]]-Production[[#This Row],[Planned downtime (Hrs)]]),"")</f>
        <v>600</v>
      </c>
      <c r="M37" s="42">
        <v>440</v>
      </c>
      <c r="N37" s="42">
        <v>58</v>
      </c>
      <c r="O37" s="43">
        <v>1</v>
      </c>
      <c r="P37" s="44">
        <f>IFERROR(Production[[#This Row],[Defect Quantity]]/(Production[[#This Row],[Defect Quantity]]+Production[[#This Row],[Ok Quantity]]),"")</f>
        <v>0.11646586345381527</v>
      </c>
      <c r="Q37" s="44">
        <f>IFERROR(IF(Production[[#This Row],[Ok Quantity]]="","",Production[[#This Row],[Ok Quantity]]/Production[[#This Row],[Target Quantity]]),"")</f>
        <v>0.73333333333333328</v>
      </c>
      <c r="R37" s="41">
        <f>IFERROR(VLOOKUP(Production[[#This Row],[Product]],Database!B:E,4,0)*Production[[#This Row],[Defect Quantity]],"")</f>
        <v>2958</v>
      </c>
      <c r="S37" s="41">
        <f>IFERROR(VLOOKUP(Production[[#This Row],[Line]],Database!L:M,2,0)*(Production[[#This Row],[Lose Time (Hrs)]]),"")</f>
        <v>900</v>
      </c>
      <c r="T37" s="41">
        <f>IFERROR(Production[[#This Row],[Lose Time Cost]]+Production[[#This Row],[Defect Cost]],"")</f>
        <v>3858</v>
      </c>
      <c r="U37" s="45">
        <f>IFERROR(3600/VLOOKUP(Production[[#This Row],[Product]],Database!B:E,2,0),"")</f>
        <v>85.714285714285708</v>
      </c>
      <c r="V37" s="45">
        <f>IFERROR(Production[[#This Row],[UPH]]/VLOOKUP(Production[[#This Row],[Product]],Database!B:E,3,0),"")</f>
        <v>28.571428571428569</v>
      </c>
      <c r="W37" s="46">
        <f>IFERROR(Production[[#This Row],[Actual Run Time (Hrs)]]/Production[[#This Row],[Breakdowns]],"")</f>
        <v>6</v>
      </c>
      <c r="X37" s="46">
        <f>IFERROR(Production[[#This Row],[Lose Time (Hrs)]]/Production[[#This Row],[Breakdowns]],"")</f>
        <v>1</v>
      </c>
      <c r="Y37" s="44">
        <f>IFERROR(IF(Production[[#This Row],[Actual Run Time (Hrs)]]="","",Production[[#This Row],[Actual Run Time (Hrs)]]/(Production[[#This Row],[Available time (Hrs)]]-Production[[#This Row],[Planned downtime (Hrs)]])),"")</f>
        <v>0.8571428571428571</v>
      </c>
      <c r="Z37" s="47">
        <f>IFERROR((IF(Production[[#This Row],[Ok Quantity]]="","",Production[[#This Row],[Ok Quantity]]+Production[[#This Row],[Defect Quantity]])/Production[[#This Row],[Target Quantity]]),"")</f>
        <v>0.83</v>
      </c>
      <c r="AA37" s="47">
        <f>IFERROR(Production[[#This Row],[Ok Quantity]]/(Production[[#This Row],[Ok Quantity]]+Production[[#This Row],[Defect Quantity]]),"")</f>
        <v>0.88353413654618473</v>
      </c>
      <c r="AB37" s="44">
        <f>IFERROR(Production[[#This Row],[Quality %]]*Production[[#This Row],[Performance %]]*Production[[#This Row],[Availability %]],"")</f>
        <v>0.62857142857142845</v>
      </c>
    </row>
    <row r="38" spans="1:28" x14ac:dyDescent="0.25">
      <c r="A38" s="91" t="str">
        <f t="shared" si="1"/>
        <v/>
      </c>
      <c r="B38" s="26">
        <v>43497</v>
      </c>
      <c r="C38" s="28">
        <v>2</v>
      </c>
      <c r="D38" s="9" t="s">
        <v>51</v>
      </c>
      <c r="E38" s="9" t="s">
        <v>19</v>
      </c>
      <c r="F38" s="31">
        <v>4</v>
      </c>
      <c r="G38" s="33">
        <f>IFERROR(VLOOKUP(Production[[#This Row],[Shift]],Database!G:H,2,0),"")</f>
        <v>8</v>
      </c>
      <c r="H38" s="31">
        <v>1</v>
      </c>
      <c r="I38" s="33">
        <f>IFERROR(Production[[#This Row],[Available time (Hrs)]]-Production[[#This Row],[Planned downtime (Hrs)]],"")</f>
        <v>7</v>
      </c>
      <c r="J38" s="33">
        <f>IF(Production[[#This Row],[Available time (Hrs)]]="","",Production[[#This Row],[Available time (Hrs)]]-Production[[#This Row],[Actual Run Time (Hrs)]]-Production[[#This Row],[Planned downtime (Hrs)]])</f>
        <v>3</v>
      </c>
      <c r="K38" s="9" t="s">
        <v>67</v>
      </c>
      <c r="L38" s="41">
        <f>IFERROR(Production[[#This Row],[UPH]]*(Production[[#This Row],[Available time (Hrs)]]-Production[[#This Row],[Planned downtime (Hrs)]]),"")</f>
        <v>630</v>
      </c>
      <c r="M38" s="42">
        <v>423</v>
      </c>
      <c r="N38" s="42">
        <v>90</v>
      </c>
      <c r="O38" s="43">
        <v>3</v>
      </c>
      <c r="P38" s="44">
        <f>IFERROR(Production[[#This Row],[Defect Quantity]]/(Production[[#This Row],[Defect Quantity]]+Production[[#This Row],[Ok Quantity]]),"")</f>
        <v>0.17543859649122806</v>
      </c>
      <c r="Q38" s="44">
        <f>IFERROR(IF(Production[[#This Row],[Ok Quantity]]="","",Production[[#This Row],[Ok Quantity]]/Production[[#This Row],[Target Quantity]]),"")</f>
        <v>0.67142857142857137</v>
      </c>
      <c r="R38" s="41">
        <f>IFERROR(VLOOKUP(Production[[#This Row],[Product]],Database!B:E,4,0)*Production[[#This Row],[Defect Quantity]],"")</f>
        <v>5400</v>
      </c>
      <c r="S38" s="41">
        <f>IFERROR(VLOOKUP(Production[[#This Row],[Line]],Database!L:M,2,0)*(Production[[#This Row],[Lose Time (Hrs)]]),"")</f>
        <v>3900</v>
      </c>
      <c r="T38" s="41">
        <f>IFERROR(Production[[#This Row],[Lose Time Cost]]+Production[[#This Row],[Defect Cost]],"")</f>
        <v>9300</v>
      </c>
      <c r="U38" s="45">
        <f>IFERROR(3600/VLOOKUP(Production[[#This Row],[Product]],Database!B:E,2,0),"")</f>
        <v>90</v>
      </c>
      <c r="V38" s="45">
        <f>IFERROR(Production[[#This Row],[UPH]]/VLOOKUP(Production[[#This Row],[Product]],Database!B:E,3,0),"")</f>
        <v>22.5</v>
      </c>
      <c r="W38" s="46">
        <f>IFERROR(Production[[#This Row],[Actual Run Time (Hrs)]]/Production[[#This Row],[Breakdowns]],"")</f>
        <v>1.3333333333333333</v>
      </c>
      <c r="X38" s="46">
        <f>IFERROR(Production[[#This Row],[Lose Time (Hrs)]]/Production[[#This Row],[Breakdowns]],"")</f>
        <v>1</v>
      </c>
      <c r="Y38" s="44">
        <f>IFERROR(IF(Production[[#This Row],[Actual Run Time (Hrs)]]="","",Production[[#This Row],[Actual Run Time (Hrs)]]/(Production[[#This Row],[Available time (Hrs)]]-Production[[#This Row],[Planned downtime (Hrs)]])),"")</f>
        <v>0.5714285714285714</v>
      </c>
      <c r="Z38" s="47">
        <f>IFERROR((IF(Production[[#This Row],[Ok Quantity]]="","",Production[[#This Row],[Ok Quantity]]+Production[[#This Row],[Defect Quantity]])/Production[[#This Row],[Target Quantity]]),"")</f>
        <v>0.81428571428571428</v>
      </c>
      <c r="AA38" s="47">
        <f>IFERROR(Production[[#This Row],[Ok Quantity]]/(Production[[#This Row],[Ok Quantity]]+Production[[#This Row],[Defect Quantity]]),"")</f>
        <v>0.82456140350877194</v>
      </c>
      <c r="AB38" s="44">
        <f>IFERROR(Production[[#This Row],[Quality %]]*Production[[#This Row],[Performance %]]*Production[[#This Row],[Availability %]],"")</f>
        <v>0.3836734693877551</v>
      </c>
    </row>
    <row r="39" spans="1:28" x14ac:dyDescent="0.25">
      <c r="A39" s="91" t="str">
        <f t="shared" si="1"/>
        <v/>
      </c>
      <c r="B39" s="26">
        <v>42137</v>
      </c>
      <c r="C39" s="28">
        <v>2</v>
      </c>
      <c r="D39" s="9" t="s">
        <v>51</v>
      </c>
      <c r="E39" s="9" t="s">
        <v>22</v>
      </c>
      <c r="F39" s="31">
        <v>5</v>
      </c>
      <c r="G39" s="33">
        <f>IFERROR(VLOOKUP(Production[[#This Row],[Shift]],Database!G:H,2,0),"")</f>
        <v>8</v>
      </c>
      <c r="H39" s="31">
        <v>1</v>
      </c>
      <c r="I39" s="33">
        <f>IFERROR(Production[[#This Row],[Available time (Hrs)]]-Production[[#This Row],[Planned downtime (Hrs)]],"")</f>
        <v>7</v>
      </c>
      <c r="J39" s="33">
        <f>IF(Production[[#This Row],[Available time (Hrs)]]="","",Production[[#This Row],[Available time (Hrs)]]-Production[[#This Row],[Actual Run Time (Hrs)]]-Production[[#This Row],[Planned downtime (Hrs)]])</f>
        <v>2</v>
      </c>
      <c r="K39" s="9" t="s">
        <v>68</v>
      </c>
      <c r="L39" s="41">
        <f>IFERROR(Production[[#This Row],[UPH]]*(Production[[#This Row],[Available time (Hrs)]]-Production[[#This Row],[Planned downtime (Hrs)]]),"")</f>
        <v>681.08108108108104</v>
      </c>
      <c r="M39" s="42">
        <v>473</v>
      </c>
      <c r="N39" s="42">
        <v>64</v>
      </c>
      <c r="O39" s="43">
        <v>3</v>
      </c>
      <c r="P39" s="44">
        <f>IFERROR(Production[[#This Row],[Defect Quantity]]/(Production[[#This Row],[Defect Quantity]]+Production[[#This Row],[Ok Quantity]]),"")</f>
        <v>0.11918063314711359</v>
      </c>
      <c r="Q39" s="44">
        <f>IFERROR(IF(Production[[#This Row],[Ok Quantity]]="","",Production[[#This Row],[Ok Quantity]]/Production[[#This Row],[Target Quantity]]),"")</f>
        <v>0.69448412698412698</v>
      </c>
      <c r="R39" s="41">
        <f>IFERROR(VLOOKUP(Production[[#This Row],[Product]],Database!B:E,4,0)*Production[[#This Row],[Defect Quantity]],"")</f>
        <v>3520</v>
      </c>
      <c r="S39" s="41">
        <f>IFERROR(VLOOKUP(Production[[#This Row],[Line]],Database!L:M,2,0)*(Production[[#This Row],[Lose Time (Hrs)]]),"")</f>
        <v>2600</v>
      </c>
      <c r="T39" s="41">
        <f>IFERROR(Production[[#This Row],[Lose Time Cost]]+Production[[#This Row],[Defect Cost]],"")</f>
        <v>6120</v>
      </c>
      <c r="U39" s="45">
        <f>IFERROR(3600/VLOOKUP(Production[[#This Row],[Product]],Database!B:E,2,0),"")</f>
        <v>97.297297297297291</v>
      </c>
      <c r="V39" s="45">
        <f>IFERROR(Production[[#This Row],[UPH]]/VLOOKUP(Production[[#This Row],[Product]],Database!B:E,3,0),"")</f>
        <v>32.432432432432428</v>
      </c>
      <c r="W39" s="46">
        <f>IFERROR(Production[[#This Row],[Actual Run Time (Hrs)]]/Production[[#This Row],[Breakdowns]],"")</f>
        <v>1.6666666666666667</v>
      </c>
      <c r="X39" s="46">
        <f>IFERROR(Production[[#This Row],[Lose Time (Hrs)]]/Production[[#This Row],[Breakdowns]],"")</f>
        <v>0.66666666666666663</v>
      </c>
      <c r="Y39" s="44">
        <f>IFERROR(IF(Production[[#This Row],[Actual Run Time (Hrs)]]="","",Production[[#This Row],[Actual Run Time (Hrs)]]/(Production[[#This Row],[Available time (Hrs)]]-Production[[#This Row],[Planned downtime (Hrs)]])),"")</f>
        <v>0.7142857142857143</v>
      </c>
      <c r="Z39" s="47">
        <f>IFERROR((IF(Production[[#This Row],[Ok Quantity]]="","",Production[[#This Row],[Ok Quantity]]+Production[[#This Row],[Defect Quantity]])/Production[[#This Row],[Target Quantity]]),"")</f>
        <v>0.78845238095238102</v>
      </c>
      <c r="AA39" s="47">
        <f>IFERROR(Production[[#This Row],[Ok Quantity]]/(Production[[#This Row],[Ok Quantity]]+Production[[#This Row],[Defect Quantity]]),"")</f>
        <v>0.88081936685288642</v>
      </c>
      <c r="AB39" s="44">
        <f>IFERROR(Production[[#This Row],[Quality %]]*Production[[#This Row],[Performance %]]*Production[[#This Row],[Availability %]],"")</f>
        <v>0.49606009070294793</v>
      </c>
    </row>
    <row r="40" spans="1:28" x14ac:dyDescent="0.25">
      <c r="A40" s="91" t="str">
        <f t="shared" si="1"/>
        <v/>
      </c>
      <c r="B40" s="26">
        <v>42078</v>
      </c>
      <c r="C40" s="28">
        <v>2</v>
      </c>
      <c r="D40" s="9" t="s">
        <v>27</v>
      </c>
      <c r="E40" s="9" t="s">
        <v>24</v>
      </c>
      <c r="F40" s="31">
        <v>6</v>
      </c>
      <c r="G40" s="33">
        <f>IFERROR(VLOOKUP(Production[[#This Row],[Shift]],Database!G:H,2,0),"")</f>
        <v>8</v>
      </c>
      <c r="H40" s="31">
        <v>1</v>
      </c>
      <c r="I40" s="33">
        <f>IFERROR(Production[[#This Row],[Available time (Hrs)]]-Production[[#This Row],[Planned downtime (Hrs)]],"")</f>
        <v>7</v>
      </c>
      <c r="J40" s="33">
        <f>IF(Production[[#This Row],[Available time (Hrs)]]="","",Production[[#This Row],[Available time (Hrs)]]-Production[[#This Row],[Actual Run Time (Hrs)]]-Production[[#This Row],[Planned downtime (Hrs)]])</f>
        <v>1</v>
      </c>
      <c r="K40" s="9" t="s">
        <v>34</v>
      </c>
      <c r="L40" s="41">
        <f>IFERROR(Production[[#This Row],[UPH]]*(Production[[#This Row],[Available time (Hrs)]]-Production[[#This Row],[Planned downtime (Hrs)]]),"")</f>
        <v>663.1578947368422</v>
      </c>
      <c r="M40" s="42">
        <v>449</v>
      </c>
      <c r="N40" s="42">
        <v>150</v>
      </c>
      <c r="O40" s="43">
        <v>1</v>
      </c>
      <c r="P40" s="44">
        <f>IFERROR(Production[[#This Row],[Defect Quantity]]/(Production[[#This Row],[Defect Quantity]]+Production[[#This Row],[Ok Quantity]]),"")</f>
        <v>0.25041736227045075</v>
      </c>
      <c r="Q40" s="44">
        <f>IFERROR(IF(Production[[#This Row],[Ok Quantity]]="","",Production[[#This Row],[Ok Quantity]]/Production[[#This Row],[Target Quantity]]),"")</f>
        <v>0.67706349206349192</v>
      </c>
      <c r="R40" s="41">
        <f>IFERROR(VLOOKUP(Production[[#This Row],[Product]],Database!B:E,4,0)*Production[[#This Row],[Defect Quantity]],"")</f>
        <v>6300</v>
      </c>
      <c r="S40" s="41">
        <f>IFERROR(VLOOKUP(Production[[#This Row],[Line]],Database!L:M,2,0)*(Production[[#This Row],[Lose Time (Hrs)]]),"")</f>
        <v>1000</v>
      </c>
      <c r="T40" s="41">
        <f>IFERROR(Production[[#This Row],[Lose Time Cost]]+Production[[#This Row],[Defect Cost]],"")</f>
        <v>7300</v>
      </c>
      <c r="U40" s="45">
        <f>IFERROR(3600/VLOOKUP(Production[[#This Row],[Product]],Database!B:E,2,0),"")</f>
        <v>94.736842105263165</v>
      </c>
      <c r="V40" s="45">
        <f>IFERROR(Production[[#This Row],[UPH]]/VLOOKUP(Production[[#This Row],[Product]],Database!B:E,3,0),"")</f>
        <v>47.368421052631582</v>
      </c>
      <c r="W40" s="46">
        <f>IFERROR(Production[[#This Row],[Actual Run Time (Hrs)]]/Production[[#This Row],[Breakdowns]],"")</f>
        <v>6</v>
      </c>
      <c r="X40" s="46">
        <f>IFERROR(Production[[#This Row],[Lose Time (Hrs)]]/Production[[#This Row],[Breakdowns]],"")</f>
        <v>1</v>
      </c>
      <c r="Y40" s="44">
        <f>IFERROR(IF(Production[[#This Row],[Actual Run Time (Hrs)]]="","",Production[[#This Row],[Actual Run Time (Hrs)]]/(Production[[#This Row],[Available time (Hrs)]]-Production[[#This Row],[Planned downtime (Hrs)]])),"")</f>
        <v>0.8571428571428571</v>
      </c>
      <c r="Z40" s="47">
        <f>IFERROR((IF(Production[[#This Row],[Ok Quantity]]="","",Production[[#This Row],[Ok Quantity]]+Production[[#This Row],[Defect Quantity]])/Production[[#This Row],[Target Quantity]]),"")</f>
        <v>0.90325396825396809</v>
      </c>
      <c r="AA40" s="47">
        <f>IFERROR(Production[[#This Row],[Ok Quantity]]/(Production[[#This Row],[Ok Quantity]]+Production[[#This Row],[Defect Quantity]]),"")</f>
        <v>0.74958263772954925</v>
      </c>
      <c r="AB40" s="44">
        <f>IFERROR(Production[[#This Row],[Quality %]]*Production[[#This Row],[Performance %]]*Production[[#This Row],[Availability %]],"")</f>
        <v>0.58034013605442158</v>
      </c>
    </row>
    <row r="41" spans="1:28" x14ac:dyDescent="0.25">
      <c r="A41" s="91" t="str">
        <f t="shared" si="1"/>
        <v/>
      </c>
      <c r="B41" s="26">
        <v>43632</v>
      </c>
      <c r="C41" s="28">
        <v>2</v>
      </c>
      <c r="D41" s="9" t="s">
        <v>28</v>
      </c>
      <c r="E41" s="9" t="s">
        <v>20</v>
      </c>
      <c r="F41" s="31">
        <v>6</v>
      </c>
      <c r="G41" s="33">
        <f>IFERROR(VLOOKUP(Production[[#This Row],[Shift]],Database!G:H,2,0),"")</f>
        <v>8</v>
      </c>
      <c r="H41" s="31">
        <v>1</v>
      </c>
      <c r="I41" s="33">
        <f>IFERROR(Production[[#This Row],[Available time (Hrs)]]-Production[[#This Row],[Planned downtime (Hrs)]],"")</f>
        <v>7</v>
      </c>
      <c r="J41" s="33">
        <f>IF(Production[[#This Row],[Available time (Hrs)]]="","",Production[[#This Row],[Available time (Hrs)]]-Production[[#This Row],[Actual Run Time (Hrs)]]-Production[[#This Row],[Planned downtime (Hrs)]])</f>
        <v>1</v>
      </c>
      <c r="K41" s="9" t="s">
        <v>67</v>
      </c>
      <c r="L41" s="41">
        <f>IFERROR(Production[[#This Row],[UPH]]*(Production[[#This Row],[Available time (Hrs)]]-Production[[#This Row],[Planned downtime (Hrs)]]),"")</f>
        <v>720</v>
      </c>
      <c r="M41" s="42">
        <v>406</v>
      </c>
      <c r="N41" s="42">
        <v>70</v>
      </c>
      <c r="O41" s="43">
        <v>2</v>
      </c>
      <c r="P41" s="44">
        <f>IFERROR(Production[[#This Row],[Defect Quantity]]/(Production[[#This Row],[Defect Quantity]]+Production[[#This Row],[Ok Quantity]]),"")</f>
        <v>0.14705882352941177</v>
      </c>
      <c r="Q41" s="44">
        <f>IFERROR(IF(Production[[#This Row],[Ok Quantity]]="","",Production[[#This Row],[Ok Quantity]]/Production[[#This Row],[Target Quantity]]),"")</f>
        <v>0.56388888888888888</v>
      </c>
      <c r="R41" s="41">
        <f>IFERROR(VLOOKUP(Production[[#This Row],[Product]],Database!B:E,4,0)*Production[[#This Row],[Defect Quantity]],"")</f>
        <v>3500</v>
      </c>
      <c r="S41" s="41">
        <f>IFERROR(VLOOKUP(Production[[#This Row],[Line]],Database!L:M,2,0)*(Production[[#This Row],[Lose Time (Hrs)]]),"")</f>
        <v>1200</v>
      </c>
      <c r="T41" s="41">
        <f>IFERROR(Production[[#This Row],[Lose Time Cost]]+Production[[#This Row],[Defect Cost]],"")</f>
        <v>4700</v>
      </c>
      <c r="U41" s="45">
        <f>IFERROR(3600/VLOOKUP(Production[[#This Row],[Product]],Database!B:E,2,0),"")</f>
        <v>102.85714285714286</v>
      </c>
      <c r="V41" s="45">
        <f>IFERROR(Production[[#This Row],[UPH]]/VLOOKUP(Production[[#This Row],[Product]],Database!B:E,3,0),"")</f>
        <v>34.285714285714285</v>
      </c>
      <c r="W41" s="46">
        <f>IFERROR(Production[[#This Row],[Actual Run Time (Hrs)]]/Production[[#This Row],[Breakdowns]],"")</f>
        <v>3</v>
      </c>
      <c r="X41" s="46">
        <f>IFERROR(Production[[#This Row],[Lose Time (Hrs)]]/Production[[#This Row],[Breakdowns]],"")</f>
        <v>0.5</v>
      </c>
      <c r="Y41" s="44">
        <f>IFERROR(IF(Production[[#This Row],[Actual Run Time (Hrs)]]="","",Production[[#This Row],[Actual Run Time (Hrs)]]/(Production[[#This Row],[Available time (Hrs)]]-Production[[#This Row],[Planned downtime (Hrs)]])),"")</f>
        <v>0.8571428571428571</v>
      </c>
      <c r="Z41" s="47">
        <f>IFERROR((IF(Production[[#This Row],[Ok Quantity]]="","",Production[[#This Row],[Ok Quantity]]+Production[[#This Row],[Defect Quantity]])/Production[[#This Row],[Target Quantity]]),"")</f>
        <v>0.66111111111111109</v>
      </c>
      <c r="AA41" s="47">
        <f>IFERROR(Production[[#This Row],[Ok Quantity]]/(Production[[#This Row],[Ok Quantity]]+Production[[#This Row],[Defect Quantity]]),"")</f>
        <v>0.8529411764705882</v>
      </c>
      <c r="AB41" s="44">
        <f>IFERROR(Production[[#This Row],[Quality %]]*Production[[#This Row],[Performance %]]*Production[[#This Row],[Availability %]],"")</f>
        <v>0.48333333333333328</v>
      </c>
    </row>
    <row r="42" spans="1:28" x14ac:dyDescent="0.25">
      <c r="A42" s="91" t="str">
        <f t="shared" si="1"/>
        <v/>
      </c>
      <c r="B42" s="26">
        <v>42023</v>
      </c>
      <c r="C42" s="28">
        <v>3</v>
      </c>
      <c r="D42" s="9" t="s">
        <v>50</v>
      </c>
      <c r="E42" s="9" t="s">
        <v>20</v>
      </c>
      <c r="F42" s="31">
        <v>5</v>
      </c>
      <c r="G42" s="33">
        <f>IFERROR(VLOOKUP(Production[[#This Row],[Shift]],Database!G:H,2,0),"")</f>
        <v>8</v>
      </c>
      <c r="H42" s="31">
        <v>1</v>
      </c>
      <c r="I42" s="33">
        <f>IFERROR(Production[[#This Row],[Available time (Hrs)]]-Production[[#This Row],[Planned downtime (Hrs)]],"")</f>
        <v>7</v>
      </c>
      <c r="J42" s="33">
        <f>IF(Production[[#This Row],[Available time (Hrs)]]="","",Production[[#This Row],[Available time (Hrs)]]-Production[[#This Row],[Actual Run Time (Hrs)]]-Production[[#This Row],[Planned downtime (Hrs)]])</f>
        <v>2</v>
      </c>
      <c r="K42" s="9" t="s">
        <v>36</v>
      </c>
      <c r="L42" s="41">
        <f>IFERROR(Production[[#This Row],[UPH]]*(Production[[#This Row],[Available time (Hrs)]]-Production[[#This Row],[Planned downtime (Hrs)]]),"")</f>
        <v>720</v>
      </c>
      <c r="M42" s="42">
        <v>426</v>
      </c>
      <c r="N42" s="42">
        <v>60</v>
      </c>
      <c r="O42" s="43">
        <v>2</v>
      </c>
      <c r="P42" s="44">
        <f>IFERROR(Production[[#This Row],[Defect Quantity]]/(Production[[#This Row],[Defect Quantity]]+Production[[#This Row],[Ok Quantity]]),"")</f>
        <v>0.12345679012345678</v>
      </c>
      <c r="Q42" s="44">
        <f>IFERROR(IF(Production[[#This Row],[Ok Quantity]]="","",Production[[#This Row],[Ok Quantity]]/Production[[#This Row],[Target Quantity]]),"")</f>
        <v>0.59166666666666667</v>
      </c>
      <c r="R42" s="41">
        <f>IFERROR(VLOOKUP(Production[[#This Row],[Product]],Database!B:E,4,0)*Production[[#This Row],[Defect Quantity]],"")</f>
        <v>3000</v>
      </c>
      <c r="S42" s="41">
        <f>IFERROR(VLOOKUP(Production[[#This Row],[Line]],Database!L:M,2,0)*(Production[[#This Row],[Lose Time (Hrs)]]),"")</f>
        <v>3000</v>
      </c>
      <c r="T42" s="41">
        <f>IFERROR(Production[[#This Row],[Lose Time Cost]]+Production[[#This Row],[Defect Cost]],"")</f>
        <v>6000</v>
      </c>
      <c r="U42" s="45">
        <f>IFERROR(3600/VLOOKUP(Production[[#This Row],[Product]],Database!B:E,2,0),"")</f>
        <v>102.85714285714286</v>
      </c>
      <c r="V42" s="45">
        <f>IFERROR(Production[[#This Row],[UPH]]/VLOOKUP(Production[[#This Row],[Product]],Database!B:E,3,0),"")</f>
        <v>34.285714285714285</v>
      </c>
      <c r="W42" s="46">
        <f>IFERROR(Production[[#This Row],[Actual Run Time (Hrs)]]/Production[[#This Row],[Breakdowns]],"")</f>
        <v>2.5</v>
      </c>
      <c r="X42" s="46">
        <f>IFERROR(Production[[#This Row],[Lose Time (Hrs)]]/Production[[#This Row],[Breakdowns]],"")</f>
        <v>1</v>
      </c>
      <c r="Y42" s="44">
        <f>IFERROR(IF(Production[[#This Row],[Actual Run Time (Hrs)]]="","",Production[[#This Row],[Actual Run Time (Hrs)]]/(Production[[#This Row],[Available time (Hrs)]]-Production[[#This Row],[Planned downtime (Hrs)]])),"")</f>
        <v>0.7142857142857143</v>
      </c>
      <c r="Z42" s="47">
        <f>IFERROR((IF(Production[[#This Row],[Ok Quantity]]="","",Production[[#This Row],[Ok Quantity]]+Production[[#This Row],[Defect Quantity]])/Production[[#This Row],[Target Quantity]]),"")</f>
        <v>0.67500000000000004</v>
      </c>
      <c r="AA42" s="47">
        <f>IFERROR(Production[[#This Row],[Ok Quantity]]/(Production[[#This Row],[Ok Quantity]]+Production[[#This Row],[Defect Quantity]]),"")</f>
        <v>0.87654320987654322</v>
      </c>
      <c r="AB42" s="44">
        <f>IFERROR(Production[[#This Row],[Quality %]]*Production[[#This Row],[Performance %]]*Production[[#This Row],[Availability %]],"")</f>
        <v>0.42261904761904762</v>
      </c>
    </row>
    <row r="43" spans="1:28" x14ac:dyDescent="0.25">
      <c r="A43" s="91" t="str">
        <f t="shared" si="1"/>
        <v/>
      </c>
      <c r="B43" s="26">
        <v>43716</v>
      </c>
      <c r="C43" s="28">
        <v>2</v>
      </c>
      <c r="D43" s="9" t="s">
        <v>27</v>
      </c>
      <c r="E43" s="9" t="s">
        <v>25</v>
      </c>
      <c r="F43" s="31">
        <v>7</v>
      </c>
      <c r="G43" s="33">
        <f>IFERROR(VLOOKUP(Production[[#This Row],[Shift]],Database!G:H,2,0),"")</f>
        <v>8</v>
      </c>
      <c r="H43" s="31">
        <v>1</v>
      </c>
      <c r="I43" s="33">
        <f>IFERROR(Production[[#This Row],[Available time (Hrs)]]-Production[[#This Row],[Planned downtime (Hrs)]],"")</f>
        <v>7</v>
      </c>
      <c r="J43" s="33">
        <f>IF(Production[[#This Row],[Available time (Hrs)]]="","",Production[[#This Row],[Available time (Hrs)]]-Production[[#This Row],[Actual Run Time (Hrs)]]-Production[[#This Row],[Planned downtime (Hrs)]])</f>
        <v>0</v>
      </c>
      <c r="L43" s="41">
        <f>IFERROR(Production[[#This Row],[UPH]]*(Production[[#This Row],[Available time (Hrs)]]-Production[[#This Row],[Planned downtime (Hrs)]]),"")</f>
        <v>600</v>
      </c>
      <c r="M43" s="42">
        <v>436</v>
      </c>
      <c r="N43" s="42">
        <v>160</v>
      </c>
      <c r="O43" s="43">
        <v>0</v>
      </c>
      <c r="P43" s="44">
        <f>IFERROR(Production[[#This Row],[Defect Quantity]]/(Production[[#This Row],[Defect Quantity]]+Production[[#This Row],[Ok Quantity]]),"")</f>
        <v>0.26845637583892618</v>
      </c>
      <c r="Q43" s="44">
        <f>IFERROR(IF(Production[[#This Row],[Ok Quantity]]="","",Production[[#This Row],[Ok Quantity]]/Production[[#This Row],[Target Quantity]]),"")</f>
        <v>0.72666666666666668</v>
      </c>
      <c r="R43" s="41">
        <f>IFERROR(VLOOKUP(Production[[#This Row],[Product]],Database!B:E,4,0)*Production[[#This Row],[Defect Quantity]],"")</f>
        <v>8160</v>
      </c>
      <c r="S43" s="41">
        <f>IFERROR(VLOOKUP(Production[[#This Row],[Line]],Database!L:M,2,0)*(Production[[#This Row],[Lose Time (Hrs)]]),"")</f>
        <v>0</v>
      </c>
      <c r="T43" s="41">
        <f>IFERROR(Production[[#This Row],[Lose Time Cost]]+Production[[#This Row],[Defect Cost]],"")</f>
        <v>8160</v>
      </c>
      <c r="U43" s="45">
        <f>IFERROR(3600/VLOOKUP(Production[[#This Row],[Product]],Database!B:E,2,0),"")</f>
        <v>85.714285714285708</v>
      </c>
      <c r="V43" s="45">
        <f>IFERROR(Production[[#This Row],[UPH]]/VLOOKUP(Production[[#This Row],[Product]],Database!B:E,3,0),"")</f>
        <v>28.571428571428569</v>
      </c>
      <c r="W43" s="46" t="str">
        <f>IFERROR(Production[[#This Row],[Actual Run Time (Hrs)]]/Production[[#This Row],[Breakdowns]],"")</f>
        <v/>
      </c>
      <c r="X43" s="46" t="str">
        <f>IFERROR(Production[[#This Row],[Lose Time (Hrs)]]/Production[[#This Row],[Breakdowns]],"")</f>
        <v/>
      </c>
      <c r="Y43" s="44">
        <f>IFERROR(IF(Production[[#This Row],[Actual Run Time (Hrs)]]="","",Production[[#This Row],[Actual Run Time (Hrs)]]/(Production[[#This Row],[Available time (Hrs)]]-Production[[#This Row],[Planned downtime (Hrs)]])),"")</f>
        <v>1</v>
      </c>
      <c r="Z43" s="47">
        <f>IFERROR((IF(Production[[#This Row],[Ok Quantity]]="","",Production[[#This Row],[Ok Quantity]]+Production[[#This Row],[Defect Quantity]])/Production[[#This Row],[Target Quantity]]),"")</f>
        <v>0.99333333333333329</v>
      </c>
      <c r="AA43" s="47">
        <f>IFERROR(Production[[#This Row],[Ok Quantity]]/(Production[[#This Row],[Ok Quantity]]+Production[[#This Row],[Defect Quantity]]),"")</f>
        <v>0.73154362416107388</v>
      </c>
      <c r="AB43" s="44">
        <f>IFERROR(Production[[#This Row],[Quality %]]*Production[[#This Row],[Performance %]]*Production[[#This Row],[Availability %]],"")</f>
        <v>0.72666666666666668</v>
      </c>
    </row>
    <row r="44" spans="1:28" x14ac:dyDescent="0.25">
      <c r="A44" s="91" t="str">
        <f t="shared" si="1"/>
        <v/>
      </c>
      <c r="B44" s="26">
        <v>42273</v>
      </c>
      <c r="C44" s="28">
        <v>1</v>
      </c>
      <c r="D44" s="9" t="s">
        <v>28</v>
      </c>
      <c r="E44" s="9" t="s">
        <v>20</v>
      </c>
      <c r="F44" s="31">
        <v>5</v>
      </c>
      <c r="G44" s="33">
        <f>IFERROR(VLOOKUP(Production[[#This Row],[Shift]],Database!G:H,2,0),"")</f>
        <v>8</v>
      </c>
      <c r="H44" s="31">
        <v>1</v>
      </c>
      <c r="I44" s="33">
        <f>IFERROR(Production[[#This Row],[Available time (Hrs)]]-Production[[#This Row],[Planned downtime (Hrs)]],"")</f>
        <v>7</v>
      </c>
      <c r="J44" s="33">
        <f>IF(Production[[#This Row],[Available time (Hrs)]]="","",Production[[#This Row],[Available time (Hrs)]]-Production[[#This Row],[Actual Run Time (Hrs)]]-Production[[#This Row],[Planned downtime (Hrs)]])</f>
        <v>2</v>
      </c>
      <c r="K44" s="9" t="s">
        <v>34</v>
      </c>
      <c r="L44" s="41">
        <f>IFERROR(Production[[#This Row],[UPH]]*(Production[[#This Row],[Available time (Hrs)]]-Production[[#This Row],[Planned downtime (Hrs)]]),"")</f>
        <v>720</v>
      </c>
      <c r="M44" s="42">
        <v>453</v>
      </c>
      <c r="N44" s="42">
        <v>61</v>
      </c>
      <c r="O44" s="43">
        <v>2</v>
      </c>
      <c r="P44" s="44">
        <f>IFERROR(Production[[#This Row],[Defect Quantity]]/(Production[[#This Row],[Defect Quantity]]+Production[[#This Row],[Ok Quantity]]),"")</f>
        <v>0.11867704280155641</v>
      </c>
      <c r="Q44" s="44">
        <f>IFERROR(IF(Production[[#This Row],[Ok Quantity]]="","",Production[[#This Row],[Ok Quantity]]/Production[[#This Row],[Target Quantity]]),"")</f>
        <v>0.62916666666666665</v>
      </c>
      <c r="R44" s="41">
        <f>IFERROR(VLOOKUP(Production[[#This Row],[Product]],Database!B:E,4,0)*Production[[#This Row],[Defect Quantity]],"")</f>
        <v>3050</v>
      </c>
      <c r="S44" s="41">
        <f>IFERROR(VLOOKUP(Production[[#This Row],[Line]],Database!L:M,2,0)*(Production[[#This Row],[Lose Time (Hrs)]]),"")</f>
        <v>2400</v>
      </c>
      <c r="T44" s="41">
        <f>IFERROR(Production[[#This Row],[Lose Time Cost]]+Production[[#This Row],[Defect Cost]],"")</f>
        <v>5450</v>
      </c>
      <c r="U44" s="45">
        <f>IFERROR(3600/VLOOKUP(Production[[#This Row],[Product]],Database!B:E,2,0),"")</f>
        <v>102.85714285714286</v>
      </c>
      <c r="V44" s="45">
        <f>IFERROR(Production[[#This Row],[UPH]]/VLOOKUP(Production[[#This Row],[Product]],Database!B:E,3,0),"")</f>
        <v>34.285714285714285</v>
      </c>
      <c r="W44" s="46">
        <f>IFERROR(Production[[#This Row],[Actual Run Time (Hrs)]]/Production[[#This Row],[Breakdowns]],"")</f>
        <v>2.5</v>
      </c>
      <c r="X44" s="46">
        <f>IFERROR(Production[[#This Row],[Lose Time (Hrs)]]/Production[[#This Row],[Breakdowns]],"")</f>
        <v>1</v>
      </c>
      <c r="Y44" s="44">
        <f>IFERROR(IF(Production[[#This Row],[Actual Run Time (Hrs)]]="","",Production[[#This Row],[Actual Run Time (Hrs)]]/(Production[[#This Row],[Available time (Hrs)]]-Production[[#This Row],[Planned downtime (Hrs)]])),"")</f>
        <v>0.7142857142857143</v>
      </c>
      <c r="Z44" s="47">
        <f>IFERROR((IF(Production[[#This Row],[Ok Quantity]]="","",Production[[#This Row],[Ok Quantity]]+Production[[#This Row],[Defect Quantity]])/Production[[#This Row],[Target Quantity]]),"")</f>
        <v>0.71388888888888891</v>
      </c>
      <c r="AA44" s="47">
        <f>IFERROR(Production[[#This Row],[Ok Quantity]]/(Production[[#This Row],[Ok Quantity]]+Production[[#This Row],[Defect Quantity]]),"")</f>
        <v>0.88132295719844356</v>
      </c>
      <c r="AB44" s="44">
        <f>IFERROR(Production[[#This Row],[Quality %]]*Production[[#This Row],[Performance %]]*Production[[#This Row],[Availability %]],"")</f>
        <v>0.44940476190476192</v>
      </c>
    </row>
    <row r="45" spans="1:28" x14ac:dyDescent="0.25">
      <c r="A45" s="91" t="str">
        <f t="shared" si="1"/>
        <v/>
      </c>
      <c r="B45" s="26">
        <v>42327</v>
      </c>
      <c r="C45" s="28">
        <v>3</v>
      </c>
      <c r="D45" s="9" t="s">
        <v>51</v>
      </c>
      <c r="E45" s="9" t="s">
        <v>23</v>
      </c>
      <c r="F45" s="31">
        <v>7</v>
      </c>
      <c r="G45" s="33">
        <f>IFERROR(VLOOKUP(Production[[#This Row],[Shift]],Database!G:H,2,0),"")</f>
        <v>8</v>
      </c>
      <c r="H45" s="31">
        <v>1</v>
      </c>
      <c r="I45" s="33">
        <f>IFERROR(Production[[#This Row],[Available time (Hrs)]]-Production[[#This Row],[Planned downtime (Hrs)]],"")</f>
        <v>7</v>
      </c>
      <c r="J45" s="33">
        <f>IF(Production[[#This Row],[Available time (Hrs)]]="","",Production[[#This Row],[Available time (Hrs)]]-Production[[#This Row],[Actual Run Time (Hrs)]]-Production[[#This Row],[Planned downtime (Hrs)]])</f>
        <v>0</v>
      </c>
      <c r="L45" s="41">
        <f>IFERROR(Production[[#This Row],[UPH]]*(Production[[#This Row],[Available time (Hrs)]]-Production[[#This Row],[Planned downtime (Hrs)]]),"")</f>
        <v>600</v>
      </c>
      <c r="M45" s="42">
        <v>445</v>
      </c>
      <c r="N45" s="42">
        <v>68</v>
      </c>
      <c r="O45" s="43">
        <v>0</v>
      </c>
      <c r="P45" s="44">
        <f>IFERROR(Production[[#This Row],[Defect Quantity]]/(Production[[#This Row],[Defect Quantity]]+Production[[#This Row],[Ok Quantity]]),"")</f>
        <v>0.13255360623781676</v>
      </c>
      <c r="Q45" s="44">
        <f>IFERROR(IF(Production[[#This Row],[Ok Quantity]]="","",Production[[#This Row],[Ok Quantity]]/Production[[#This Row],[Target Quantity]]),"")</f>
        <v>0.7416666666666667</v>
      </c>
      <c r="R45" s="41">
        <f>IFERROR(VLOOKUP(Production[[#This Row],[Product]],Database!B:E,4,0)*Production[[#This Row],[Defect Quantity]],"")</f>
        <v>2380</v>
      </c>
      <c r="S45" s="41">
        <f>IFERROR(VLOOKUP(Production[[#This Row],[Line]],Database!L:M,2,0)*(Production[[#This Row],[Lose Time (Hrs)]]),"")</f>
        <v>0</v>
      </c>
      <c r="T45" s="41">
        <f>IFERROR(Production[[#This Row],[Lose Time Cost]]+Production[[#This Row],[Defect Cost]],"")</f>
        <v>2380</v>
      </c>
      <c r="U45" s="45">
        <f>IFERROR(3600/VLOOKUP(Production[[#This Row],[Product]],Database!B:E,2,0),"")</f>
        <v>85.714285714285708</v>
      </c>
      <c r="V45" s="45">
        <f>IFERROR(Production[[#This Row],[UPH]]/VLOOKUP(Production[[#This Row],[Product]],Database!B:E,3,0),"")</f>
        <v>17.142857142857142</v>
      </c>
      <c r="W45" s="46" t="str">
        <f>IFERROR(Production[[#This Row],[Actual Run Time (Hrs)]]/Production[[#This Row],[Breakdowns]],"")</f>
        <v/>
      </c>
      <c r="X45" s="46" t="str">
        <f>IFERROR(Production[[#This Row],[Lose Time (Hrs)]]/Production[[#This Row],[Breakdowns]],"")</f>
        <v/>
      </c>
      <c r="Y45" s="44">
        <f>IFERROR(IF(Production[[#This Row],[Actual Run Time (Hrs)]]="","",Production[[#This Row],[Actual Run Time (Hrs)]]/(Production[[#This Row],[Available time (Hrs)]]-Production[[#This Row],[Planned downtime (Hrs)]])),"")</f>
        <v>1</v>
      </c>
      <c r="Z45" s="47">
        <f>IFERROR((IF(Production[[#This Row],[Ok Quantity]]="","",Production[[#This Row],[Ok Quantity]]+Production[[#This Row],[Defect Quantity]])/Production[[#This Row],[Target Quantity]]),"")</f>
        <v>0.85499999999999998</v>
      </c>
      <c r="AA45" s="47">
        <f>IFERROR(Production[[#This Row],[Ok Quantity]]/(Production[[#This Row],[Ok Quantity]]+Production[[#This Row],[Defect Quantity]]),"")</f>
        <v>0.86744639376218324</v>
      </c>
      <c r="AB45" s="44">
        <f>IFERROR(Production[[#This Row],[Quality %]]*Production[[#This Row],[Performance %]]*Production[[#This Row],[Availability %]],"")</f>
        <v>0.7416666666666667</v>
      </c>
    </row>
    <row r="46" spans="1:28" x14ac:dyDescent="0.25">
      <c r="A46" s="91" t="str">
        <f t="shared" si="1"/>
        <v/>
      </c>
      <c r="B46" s="26">
        <v>43708</v>
      </c>
      <c r="C46" s="28">
        <v>1</v>
      </c>
      <c r="D46" s="9" t="s">
        <v>51</v>
      </c>
      <c r="E46" s="9" t="s">
        <v>20</v>
      </c>
      <c r="F46" s="31">
        <v>7</v>
      </c>
      <c r="G46" s="33">
        <f>IFERROR(VLOOKUP(Production[[#This Row],[Shift]],Database!G:H,2,0),"")</f>
        <v>8</v>
      </c>
      <c r="H46" s="31">
        <v>1</v>
      </c>
      <c r="I46" s="33">
        <f>IFERROR(Production[[#This Row],[Available time (Hrs)]]-Production[[#This Row],[Planned downtime (Hrs)]],"")</f>
        <v>7</v>
      </c>
      <c r="J46" s="33">
        <f>IF(Production[[#This Row],[Available time (Hrs)]]="","",Production[[#This Row],[Available time (Hrs)]]-Production[[#This Row],[Actual Run Time (Hrs)]]-Production[[#This Row],[Planned downtime (Hrs)]])</f>
        <v>0</v>
      </c>
      <c r="L46" s="41">
        <f>IFERROR(Production[[#This Row],[UPH]]*(Production[[#This Row],[Available time (Hrs)]]-Production[[#This Row],[Planned downtime (Hrs)]]),"")</f>
        <v>720</v>
      </c>
      <c r="M46" s="42">
        <v>402</v>
      </c>
      <c r="N46" s="42">
        <v>84</v>
      </c>
      <c r="O46" s="43">
        <v>0</v>
      </c>
      <c r="P46" s="44">
        <f>IFERROR(Production[[#This Row],[Defect Quantity]]/(Production[[#This Row],[Defect Quantity]]+Production[[#This Row],[Ok Quantity]]),"")</f>
        <v>0.1728395061728395</v>
      </c>
      <c r="Q46" s="44">
        <f>IFERROR(IF(Production[[#This Row],[Ok Quantity]]="","",Production[[#This Row],[Ok Quantity]]/Production[[#This Row],[Target Quantity]]),"")</f>
        <v>0.55833333333333335</v>
      </c>
      <c r="R46" s="41">
        <f>IFERROR(VLOOKUP(Production[[#This Row],[Product]],Database!B:E,4,0)*Production[[#This Row],[Defect Quantity]],"")</f>
        <v>4200</v>
      </c>
      <c r="S46" s="41">
        <f>IFERROR(VLOOKUP(Production[[#This Row],[Line]],Database!L:M,2,0)*(Production[[#This Row],[Lose Time (Hrs)]]),"")</f>
        <v>0</v>
      </c>
      <c r="T46" s="41">
        <f>IFERROR(Production[[#This Row],[Lose Time Cost]]+Production[[#This Row],[Defect Cost]],"")</f>
        <v>4200</v>
      </c>
      <c r="U46" s="45">
        <f>IFERROR(3600/VLOOKUP(Production[[#This Row],[Product]],Database!B:E,2,0),"")</f>
        <v>102.85714285714286</v>
      </c>
      <c r="V46" s="45">
        <f>IFERROR(Production[[#This Row],[UPH]]/VLOOKUP(Production[[#This Row],[Product]],Database!B:E,3,0),"")</f>
        <v>34.285714285714285</v>
      </c>
      <c r="W46" s="46" t="str">
        <f>IFERROR(Production[[#This Row],[Actual Run Time (Hrs)]]/Production[[#This Row],[Breakdowns]],"")</f>
        <v/>
      </c>
      <c r="X46" s="46" t="str">
        <f>IFERROR(Production[[#This Row],[Lose Time (Hrs)]]/Production[[#This Row],[Breakdowns]],"")</f>
        <v/>
      </c>
      <c r="Y46" s="44">
        <f>IFERROR(IF(Production[[#This Row],[Actual Run Time (Hrs)]]="","",Production[[#This Row],[Actual Run Time (Hrs)]]/(Production[[#This Row],[Available time (Hrs)]]-Production[[#This Row],[Planned downtime (Hrs)]])),"")</f>
        <v>1</v>
      </c>
      <c r="Z46" s="47">
        <f>IFERROR((IF(Production[[#This Row],[Ok Quantity]]="","",Production[[#This Row],[Ok Quantity]]+Production[[#This Row],[Defect Quantity]])/Production[[#This Row],[Target Quantity]]),"")</f>
        <v>0.67500000000000004</v>
      </c>
      <c r="AA46" s="47">
        <f>IFERROR(Production[[#This Row],[Ok Quantity]]/(Production[[#This Row],[Ok Quantity]]+Production[[#This Row],[Defect Quantity]]),"")</f>
        <v>0.8271604938271605</v>
      </c>
      <c r="AB46" s="44">
        <f>IFERROR(Production[[#This Row],[Quality %]]*Production[[#This Row],[Performance %]]*Production[[#This Row],[Availability %]],"")</f>
        <v>0.55833333333333335</v>
      </c>
    </row>
    <row r="47" spans="1:28" x14ac:dyDescent="0.25">
      <c r="A47" s="91" t="str">
        <f t="shared" si="1"/>
        <v/>
      </c>
      <c r="B47" s="26">
        <v>42092</v>
      </c>
      <c r="C47" s="28">
        <v>2</v>
      </c>
      <c r="D47" s="9" t="s">
        <v>50</v>
      </c>
      <c r="E47" s="9" t="s">
        <v>20</v>
      </c>
      <c r="F47" s="31">
        <v>5</v>
      </c>
      <c r="G47" s="33">
        <f>IFERROR(VLOOKUP(Production[[#This Row],[Shift]],Database!G:H,2,0),"")</f>
        <v>8</v>
      </c>
      <c r="H47" s="31">
        <v>1</v>
      </c>
      <c r="I47" s="33">
        <f>IFERROR(Production[[#This Row],[Available time (Hrs)]]-Production[[#This Row],[Planned downtime (Hrs)]],"")</f>
        <v>7</v>
      </c>
      <c r="J47" s="33">
        <f>IF(Production[[#This Row],[Available time (Hrs)]]="","",Production[[#This Row],[Available time (Hrs)]]-Production[[#This Row],[Actual Run Time (Hrs)]]-Production[[#This Row],[Planned downtime (Hrs)]])</f>
        <v>2</v>
      </c>
      <c r="K47" s="9" t="s">
        <v>34</v>
      </c>
      <c r="L47" s="41">
        <f>IFERROR(Production[[#This Row],[UPH]]*(Production[[#This Row],[Available time (Hrs)]]-Production[[#This Row],[Planned downtime (Hrs)]]),"")</f>
        <v>720</v>
      </c>
      <c r="M47" s="42">
        <v>477</v>
      </c>
      <c r="N47" s="42">
        <v>79</v>
      </c>
      <c r="O47" s="43">
        <v>3</v>
      </c>
      <c r="P47" s="44">
        <f>IFERROR(Production[[#This Row],[Defect Quantity]]/(Production[[#This Row],[Defect Quantity]]+Production[[#This Row],[Ok Quantity]]),"")</f>
        <v>0.1420863309352518</v>
      </c>
      <c r="Q47" s="44">
        <f>IFERROR(IF(Production[[#This Row],[Ok Quantity]]="","",Production[[#This Row],[Ok Quantity]]/Production[[#This Row],[Target Quantity]]),"")</f>
        <v>0.66249999999999998</v>
      </c>
      <c r="R47" s="41">
        <f>IFERROR(VLOOKUP(Production[[#This Row],[Product]],Database!B:E,4,0)*Production[[#This Row],[Defect Quantity]],"")</f>
        <v>3950</v>
      </c>
      <c r="S47" s="41">
        <f>IFERROR(VLOOKUP(Production[[#This Row],[Line]],Database!L:M,2,0)*(Production[[#This Row],[Lose Time (Hrs)]]),"")</f>
        <v>3000</v>
      </c>
      <c r="T47" s="41">
        <f>IFERROR(Production[[#This Row],[Lose Time Cost]]+Production[[#This Row],[Defect Cost]],"")</f>
        <v>6950</v>
      </c>
      <c r="U47" s="45">
        <f>IFERROR(3600/VLOOKUP(Production[[#This Row],[Product]],Database!B:E,2,0),"")</f>
        <v>102.85714285714286</v>
      </c>
      <c r="V47" s="45">
        <f>IFERROR(Production[[#This Row],[UPH]]/VLOOKUP(Production[[#This Row],[Product]],Database!B:E,3,0),"")</f>
        <v>34.285714285714285</v>
      </c>
      <c r="W47" s="46">
        <f>IFERROR(Production[[#This Row],[Actual Run Time (Hrs)]]/Production[[#This Row],[Breakdowns]],"")</f>
        <v>1.6666666666666667</v>
      </c>
      <c r="X47" s="46">
        <f>IFERROR(Production[[#This Row],[Lose Time (Hrs)]]/Production[[#This Row],[Breakdowns]],"")</f>
        <v>0.66666666666666663</v>
      </c>
      <c r="Y47" s="44">
        <f>IFERROR(IF(Production[[#This Row],[Actual Run Time (Hrs)]]="","",Production[[#This Row],[Actual Run Time (Hrs)]]/(Production[[#This Row],[Available time (Hrs)]]-Production[[#This Row],[Planned downtime (Hrs)]])),"")</f>
        <v>0.7142857142857143</v>
      </c>
      <c r="Z47" s="47">
        <f>IFERROR((IF(Production[[#This Row],[Ok Quantity]]="","",Production[[#This Row],[Ok Quantity]]+Production[[#This Row],[Defect Quantity]])/Production[[#This Row],[Target Quantity]]),"")</f>
        <v>0.77222222222222225</v>
      </c>
      <c r="AA47" s="47">
        <f>IFERROR(Production[[#This Row],[Ok Quantity]]/(Production[[#This Row],[Ok Quantity]]+Production[[#This Row],[Defect Quantity]]),"")</f>
        <v>0.8579136690647482</v>
      </c>
      <c r="AB47" s="44">
        <f>IFERROR(Production[[#This Row],[Quality %]]*Production[[#This Row],[Performance %]]*Production[[#This Row],[Availability %]],"")</f>
        <v>0.4732142857142857</v>
      </c>
    </row>
    <row r="48" spans="1:28" x14ac:dyDescent="0.25">
      <c r="A48" s="91" t="str">
        <f t="shared" si="1"/>
        <v/>
      </c>
      <c r="B48" s="26">
        <v>42647</v>
      </c>
      <c r="C48" s="28">
        <v>3</v>
      </c>
      <c r="D48" s="9" t="s">
        <v>51</v>
      </c>
      <c r="E48" s="9" t="s">
        <v>24</v>
      </c>
      <c r="F48" s="31">
        <v>7</v>
      </c>
      <c r="G48" s="33">
        <f>IFERROR(VLOOKUP(Production[[#This Row],[Shift]],Database!G:H,2,0),"")</f>
        <v>8</v>
      </c>
      <c r="H48" s="31">
        <v>1</v>
      </c>
      <c r="I48" s="33">
        <f>IFERROR(Production[[#This Row],[Available time (Hrs)]]-Production[[#This Row],[Planned downtime (Hrs)]],"")</f>
        <v>7</v>
      </c>
      <c r="J48" s="33">
        <f>IF(Production[[#This Row],[Available time (Hrs)]]="","",Production[[#This Row],[Available time (Hrs)]]-Production[[#This Row],[Actual Run Time (Hrs)]]-Production[[#This Row],[Planned downtime (Hrs)]])</f>
        <v>0</v>
      </c>
      <c r="L48" s="41">
        <f>IFERROR(Production[[#This Row],[UPH]]*(Production[[#This Row],[Available time (Hrs)]]-Production[[#This Row],[Planned downtime (Hrs)]]),"")</f>
        <v>663.1578947368422</v>
      </c>
      <c r="M48" s="42">
        <v>445</v>
      </c>
      <c r="N48" s="42">
        <v>69</v>
      </c>
      <c r="O48" s="43">
        <v>0</v>
      </c>
      <c r="P48" s="44">
        <f>IFERROR(Production[[#This Row],[Defect Quantity]]/(Production[[#This Row],[Defect Quantity]]+Production[[#This Row],[Ok Quantity]]),"")</f>
        <v>0.13424124513618677</v>
      </c>
      <c r="Q48" s="44">
        <f>IFERROR(IF(Production[[#This Row],[Ok Quantity]]="","",Production[[#This Row],[Ok Quantity]]/Production[[#This Row],[Target Quantity]]),"")</f>
        <v>0.67103174603174598</v>
      </c>
      <c r="R48" s="41">
        <f>IFERROR(VLOOKUP(Production[[#This Row],[Product]],Database!B:E,4,0)*Production[[#This Row],[Defect Quantity]],"")</f>
        <v>2898</v>
      </c>
      <c r="S48" s="41">
        <f>IFERROR(VLOOKUP(Production[[#This Row],[Line]],Database!L:M,2,0)*(Production[[#This Row],[Lose Time (Hrs)]]),"")</f>
        <v>0</v>
      </c>
      <c r="T48" s="41">
        <f>IFERROR(Production[[#This Row],[Lose Time Cost]]+Production[[#This Row],[Defect Cost]],"")</f>
        <v>2898</v>
      </c>
      <c r="U48" s="45">
        <f>IFERROR(3600/VLOOKUP(Production[[#This Row],[Product]],Database!B:E,2,0),"")</f>
        <v>94.736842105263165</v>
      </c>
      <c r="V48" s="45">
        <f>IFERROR(Production[[#This Row],[UPH]]/VLOOKUP(Production[[#This Row],[Product]],Database!B:E,3,0),"")</f>
        <v>47.368421052631582</v>
      </c>
      <c r="W48" s="46" t="str">
        <f>IFERROR(Production[[#This Row],[Actual Run Time (Hrs)]]/Production[[#This Row],[Breakdowns]],"")</f>
        <v/>
      </c>
      <c r="X48" s="46" t="str">
        <f>IFERROR(Production[[#This Row],[Lose Time (Hrs)]]/Production[[#This Row],[Breakdowns]],"")</f>
        <v/>
      </c>
      <c r="Y48" s="44">
        <f>IFERROR(IF(Production[[#This Row],[Actual Run Time (Hrs)]]="","",Production[[#This Row],[Actual Run Time (Hrs)]]/(Production[[#This Row],[Available time (Hrs)]]-Production[[#This Row],[Planned downtime (Hrs)]])),"")</f>
        <v>1</v>
      </c>
      <c r="Z48" s="47">
        <f>IFERROR((IF(Production[[#This Row],[Ok Quantity]]="","",Production[[#This Row],[Ok Quantity]]+Production[[#This Row],[Defect Quantity]])/Production[[#This Row],[Target Quantity]]),"")</f>
        <v>0.77507936507936492</v>
      </c>
      <c r="AA48" s="47">
        <f>IFERROR(Production[[#This Row],[Ok Quantity]]/(Production[[#This Row],[Ok Quantity]]+Production[[#This Row],[Defect Quantity]]),"")</f>
        <v>0.86575875486381326</v>
      </c>
      <c r="AB48" s="44">
        <f>IFERROR(Production[[#This Row],[Quality %]]*Production[[#This Row],[Performance %]]*Production[[#This Row],[Availability %]],"")</f>
        <v>0.67103174603174587</v>
      </c>
    </row>
    <row r="49" spans="1:28" x14ac:dyDescent="0.25">
      <c r="A49" s="91" t="str">
        <f t="shared" si="1"/>
        <v/>
      </c>
      <c r="B49" s="26">
        <v>43511</v>
      </c>
      <c r="C49" s="28">
        <v>1</v>
      </c>
      <c r="D49" s="9" t="s">
        <v>50</v>
      </c>
      <c r="E49" s="9" t="s">
        <v>21</v>
      </c>
      <c r="F49" s="31">
        <v>4</v>
      </c>
      <c r="G49" s="33">
        <f>IFERROR(VLOOKUP(Production[[#This Row],[Shift]],Database!G:H,2,0),"")</f>
        <v>8</v>
      </c>
      <c r="H49" s="31">
        <v>1</v>
      </c>
      <c r="I49" s="33">
        <f>IFERROR(Production[[#This Row],[Available time (Hrs)]]-Production[[#This Row],[Planned downtime (Hrs)]],"")</f>
        <v>7</v>
      </c>
      <c r="J49" s="33">
        <f>IF(Production[[#This Row],[Available time (Hrs)]]="","",Production[[#This Row],[Available time (Hrs)]]-Production[[#This Row],[Actual Run Time (Hrs)]]-Production[[#This Row],[Planned downtime (Hrs)]])</f>
        <v>3</v>
      </c>
      <c r="K49" s="9" t="s">
        <v>32</v>
      </c>
      <c r="L49" s="41">
        <f>IFERROR(Production[[#This Row],[UPH]]*(Production[[#This Row],[Available time (Hrs)]]-Production[[#This Row],[Planned downtime (Hrs)]]),"")</f>
        <v>630</v>
      </c>
      <c r="M49" s="42">
        <v>480</v>
      </c>
      <c r="N49" s="42">
        <v>60</v>
      </c>
      <c r="O49" s="43">
        <v>2</v>
      </c>
      <c r="P49" s="44">
        <f>IFERROR(Production[[#This Row],[Defect Quantity]]/(Production[[#This Row],[Defect Quantity]]+Production[[#This Row],[Ok Quantity]]),"")</f>
        <v>0.1111111111111111</v>
      </c>
      <c r="Q49" s="44">
        <f>IFERROR(IF(Production[[#This Row],[Ok Quantity]]="","",Production[[#This Row],[Ok Quantity]]/Production[[#This Row],[Target Quantity]]),"")</f>
        <v>0.76190476190476186</v>
      </c>
      <c r="R49" s="41">
        <f>IFERROR(VLOOKUP(Production[[#This Row],[Product]],Database!B:E,4,0)*Production[[#This Row],[Defect Quantity]],"")</f>
        <v>2400</v>
      </c>
      <c r="S49" s="41">
        <f>IFERROR(VLOOKUP(Production[[#This Row],[Line]],Database!L:M,2,0)*(Production[[#This Row],[Lose Time (Hrs)]]),"")</f>
        <v>4500</v>
      </c>
      <c r="T49" s="41">
        <f>IFERROR(Production[[#This Row],[Lose Time Cost]]+Production[[#This Row],[Defect Cost]],"")</f>
        <v>6900</v>
      </c>
      <c r="U49" s="45">
        <f>IFERROR(3600/VLOOKUP(Production[[#This Row],[Product]],Database!B:E,2,0),"")</f>
        <v>90</v>
      </c>
      <c r="V49" s="45">
        <f>IFERROR(Production[[#This Row],[UPH]]/VLOOKUP(Production[[#This Row],[Product]],Database!B:E,3,0),"")</f>
        <v>30</v>
      </c>
      <c r="W49" s="46">
        <f>IFERROR(Production[[#This Row],[Actual Run Time (Hrs)]]/Production[[#This Row],[Breakdowns]],"")</f>
        <v>2</v>
      </c>
      <c r="X49" s="46">
        <f>IFERROR(Production[[#This Row],[Lose Time (Hrs)]]/Production[[#This Row],[Breakdowns]],"")</f>
        <v>1.5</v>
      </c>
      <c r="Y49" s="44">
        <f>IFERROR(IF(Production[[#This Row],[Actual Run Time (Hrs)]]="","",Production[[#This Row],[Actual Run Time (Hrs)]]/(Production[[#This Row],[Available time (Hrs)]]-Production[[#This Row],[Planned downtime (Hrs)]])),"")</f>
        <v>0.5714285714285714</v>
      </c>
      <c r="Z49" s="47">
        <f>IFERROR((IF(Production[[#This Row],[Ok Quantity]]="","",Production[[#This Row],[Ok Quantity]]+Production[[#This Row],[Defect Quantity]])/Production[[#This Row],[Target Quantity]]),"")</f>
        <v>0.8571428571428571</v>
      </c>
      <c r="AA49" s="47">
        <f>IFERROR(Production[[#This Row],[Ok Quantity]]/(Production[[#This Row],[Ok Quantity]]+Production[[#This Row],[Defect Quantity]]),"")</f>
        <v>0.88888888888888884</v>
      </c>
      <c r="AB49" s="44">
        <f>IFERROR(Production[[#This Row],[Quality %]]*Production[[#This Row],[Performance %]]*Production[[#This Row],[Availability %]],"")</f>
        <v>0.43537414965986387</v>
      </c>
    </row>
    <row r="50" spans="1:28" x14ac:dyDescent="0.25">
      <c r="A50" s="91" t="str">
        <f t="shared" si="1"/>
        <v/>
      </c>
      <c r="B50" s="26">
        <v>42614</v>
      </c>
      <c r="C50" s="28">
        <v>2</v>
      </c>
      <c r="D50" s="9" t="s">
        <v>28</v>
      </c>
      <c r="E50" s="9" t="s">
        <v>21</v>
      </c>
      <c r="F50" s="31">
        <v>7</v>
      </c>
      <c r="G50" s="33">
        <f>IFERROR(VLOOKUP(Production[[#This Row],[Shift]],Database!G:H,2,0),"")</f>
        <v>8</v>
      </c>
      <c r="H50" s="31">
        <v>1</v>
      </c>
      <c r="I50" s="33">
        <f>IFERROR(Production[[#This Row],[Available time (Hrs)]]-Production[[#This Row],[Planned downtime (Hrs)]],"")</f>
        <v>7</v>
      </c>
      <c r="J50" s="33">
        <f>IF(Production[[#This Row],[Available time (Hrs)]]="","",Production[[#This Row],[Available time (Hrs)]]-Production[[#This Row],[Actual Run Time (Hrs)]]-Production[[#This Row],[Planned downtime (Hrs)]])</f>
        <v>0</v>
      </c>
      <c r="L50" s="41">
        <f>IFERROR(Production[[#This Row],[UPH]]*(Production[[#This Row],[Available time (Hrs)]]-Production[[#This Row],[Planned downtime (Hrs)]]),"")</f>
        <v>630</v>
      </c>
      <c r="M50" s="42">
        <v>496</v>
      </c>
      <c r="N50" s="42">
        <v>51</v>
      </c>
      <c r="O50" s="43">
        <v>0</v>
      </c>
      <c r="P50" s="44">
        <f>IFERROR(Production[[#This Row],[Defect Quantity]]/(Production[[#This Row],[Defect Quantity]]+Production[[#This Row],[Ok Quantity]]),"")</f>
        <v>9.3235831809872036E-2</v>
      </c>
      <c r="Q50" s="44">
        <f>IFERROR(IF(Production[[#This Row],[Ok Quantity]]="","",Production[[#This Row],[Ok Quantity]]/Production[[#This Row],[Target Quantity]]),"")</f>
        <v>0.78730158730158728</v>
      </c>
      <c r="R50" s="41">
        <f>IFERROR(VLOOKUP(Production[[#This Row],[Product]],Database!B:E,4,0)*Production[[#This Row],[Defect Quantity]],"")</f>
        <v>2040</v>
      </c>
      <c r="S50" s="41">
        <f>IFERROR(VLOOKUP(Production[[#This Row],[Line]],Database!L:M,2,0)*(Production[[#This Row],[Lose Time (Hrs)]]),"")</f>
        <v>0</v>
      </c>
      <c r="T50" s="41">
        <f>IFERROR(Production[[#This Row],[Lose Time Cost]]+Production[[#This Row],[Defect Cost]],"")</f>
        <v>2040</v>
      </c>
      <c r="U50" s="45">
        <f>IFERROR(3600/VLOOKUP(Production[[#This Row],[Product]],Database!B:E,2,0),"")</f>
        <v>90</v>
      </c>
      <c r="V50" s="45">
        <f>IFERROR(Production[[#This Row],[UPH]]/VLOOKUP(Production[[#This Row],[Product]],Database!B:E,3,0),"")</f>
        <v>30</v>
      </c>
      <c r="W50" s="46" t="str">
        <f>IFERROR(Production[[#This Row],[Actual Run Time (Hrs)]]/Production[[#This Row],[Breakdowns]],"")</f>
        <v/>
      </c>
      <c r="X50" s="46" t="str">
        <f>IFERROR(Production[[#This Row],[Lose Time (Hrs)]]/Production[[#This Row],[Breakdowns]],"")</f>
        <v/>
      </c>
      <c r="Y50" s="44">
        <f>IFERROR(IF(Production[[#This Row],[Actual Run Time (Hrs)]]="","",Production[[#This Row],[Actual Run Time (Hrs)]]/(Production[[#This Row],[Available time (Hrs)]]-Production[[#This Row],[Planned downtime (Hrs)]])),"")</f>
        <v>1</v>
      </c>
      <c r="Z50" s="47">
        <f>IFERROR((IF(Production[[#This Row],[Ok Quantity]]="","",Production[[#This Row],[Ok Quantity]]+Production[[#This Row],[Defect Quantity]])/Production[[#This Row],[Target Quantity]]),"")</f>
        <v>0.86825396825396828</v>
      </c>
      <c r="AA50" s="47">
        <f>IFERROR(Production[[#This Row],[Ok Quantity]]/(Production[[#This Row],[Ok Quantity]]+Production[[#This Row],[Defect Quantity]]),"")</f>
        <v>0.90676416819012795</v>
      </c>
      <c r="AB50" s="44">
        <f>IFERROR(Production[[#This Row],[Quality %]]*Production[[#This Row],[Performance %]]*Production[[#This Row],[Availability %]],"")</f>
        <v>0.78730158730158728</v>
      </c>
    </row>
    <row r="51" spans="1:28" x14ac:dyDescent="0.25">
      <c r="A51" s="91" t="str">
        <f t="shared" si="1"/>
        <v/>
      </c>
      <c r="B51" s="26">
        <v>42079</v>
      </c>
      <c r="C51" s="28">
        <v>2</v>
      </c>
      <c r="D51" s="9" t="s">
        <v>27</v>
      </c>
      <c r="E51" s="9" t="s">
        <v>21</v>
      </c>
      <c r="F51" s="31">
        <v>5</v>
      </c>
      <c r="G51" s="33">
        <f>IFERROR(VLOOKUP(Production[[#This Row],[Shift]],Database!G:H,2,0),"")</f>
        <v>8</v>
      </c>
      <c r="H51" s="31">
        <v>1</v>
      </c>
      <c r="I51" s="33">
        <f>IFERROR(Production[[#This Row],[Available time (Hrs)]]-Production[[#This Row],[Planned downtime (Hrs)]],"")</f>
        <v>7</v>
      </c>
      <c r="J51" s="33">
        <f>IF(Production[[#This Row],[Available time (Hrs)]]="","",Production[[#This Row],[Available time (Hrs)]]-Production[[#This Row],[Actual Run Time (Hrs)]]-Production[[#This Row],[Planned downtime (Hrs)]])</f>
        <v>2</v>
      </c>
      <c r="K51" s="9" t="s">
        <v>68</v>
      </c>
      <c r="L51" s="41">
        <f>IFERROR(Production[[#This Row],[UPH]]*(Production[[#This Row],[Available time (Hrs)]]-Production[[#This Row],[Planned downtime (Hrs)]]),"")</f>
        <v>630</v>
      </c>
      <c r="M51" s="42">
        <v>418</v>
      </c>
      <c r="N51" s="42">
        <v>89</v>
      </c>
      <c r="O51" s="43">
        <v>1</v>
      </c>
      <c r="P51" s="44">
        <f>IFERROR(Production[[#This Row],[Defect Quantity]]/(Production[[#This Row],[Defect Quantity]]+Production[[#This Row],[Ok Quantity]]),"")</f>
        <v>0.17554240631163709</v>
      </c>
      <c r="Q51" s="44">
        <f>IFERROR(IF(Production[[#This Row],[Ok Quantity]]="","",Production[[#This Row],[Ok Quantity]]/Production[[#This Row],[Target Quantity]]),"")</f>
        <v>0.66349206349206347</v>
      </c>
      <c r="R51" s="41">
        <f>IFERROR(VLOOKUP(Production[[#This Row],[Product]],Database!B:E,4,0)*Production[[#This Row],[Defect Quantity]],"")</f>
        <v>3560</v>
      </c>
      <c r="S51" s="41">
        <f>IFERROR(VLOOKUP(Production[[#This Row],[Line]],Database!L:M,2,0)*(Production[[#This Row],[Lose Time (Hrs)]]),"")</f>
        <v>2000</v>
      </c>
      <c r="T51" s="41">
        <f>IFERROR(Production[[#This Row],[Lose Time Cost]]+Production[[#This Row],[Defect Cost]],"")</f>
        <v>5560</v>
      </c>
      <c r="U51" s="45">
        <f>IFERROR(3600/VLOOKUP(Production[[#This Row],[Product]],Database!B:E,2,0),"")</f>
        <v>90</v>
      </c>
      <c r="V51" s="45">
        <f>IFERROR(Production[[#This Row],[UPH]]/VLOOKUP(Production[[#This Row],[Product]],Database!B:E,3,0),"")</f>
        <v>30</v>
      </c>
      <c r="W51" s="46">
        <f>IFERROR(Production[[#This Row],[Actual Run Time (Hrs)]]/Production[[#This Row],[Breakdowns]],"")</f>
        <v>5</v>
      </c>
      <c r="X51" s="46">
        <f>IFERROR(Production[[#This Row],[Lose Time (Hrs)]]/Production[[#This Row],[Breakdowns]],"")</f>
        <v>2</v>
      </c>
      <c r="Y51" s="44">
        <f>IFERROR(IF(Production[[#This Row],[Actual Run Time (Hrs)]]="","",Production[[#This Row],[Actual Run Time (Hrs)]]/(Production[[#This Row],[Available time (Hrs)]]-Production[[#This Row],[Planned downtime (Hrs)]])),"")</f>
        <v>0.7142857142857143</v>
      </c>
      <c r="Z51" s="47">
        <f>IFERROR((IF(Production[[#This Row],[Ok Quantity]]="","",Production[[#This Row],[Ok Quantity]]+Production[[#This Row],[Defect Quantity]])/Production[[#This Row],[Target Quantity]]),"")</f>
        <v>0.80476190476190479</v>
      </c>
      <c r="AA51" s="47">
        <f>IFERROR(Production[[#This Row],[Ok Quantity]]/(Production[[#This Row],[Ok Quantity]]+Production[[#This Row],[Defect Quantity]]),"")</f>
        <v>0.82445759368836291</v>
      </c>
      <c r="AB51" s="44">
        <f>IFERROR(Production[[#This Row],[Quality %]]*Production[[#This Row],[Performance %]]*Production[[#This Row],[Availability %]],"")</f>
        <v>0.47392290249433106</v>
      </c>
    </row>
    <row r="52" spans="1:28" x14ac:dyDescent="0.25">
      <c r="A52" s="91" t="str">
        <f t="shared" si="1"/>
        <v/>
      </c>
      <c r="B52" s="26">
        <v>43105</v>
      </c>
      <c r="C52" s="28">
        <v>3</v>
      </c>
      <c r="D52" s="9" t="s">
        <v>50</v>
      </c>
      <c r="E52" s="9" t="s">
        <v>22</v>
      </c>
      <c r="F52" s="31">
        <v>6</v>
      </c>
      <c r="G52" s="33">
        <f>IFERROR(VLOOKUP(Production[[#This Row],[Shift]],Database!G:H,2,0),"")</f>
        <v>8</v>
      </c>
      <c r="H52" s="31">
        <v>1</v>
      </c>
      <c r="I52" s="33">
        <f>IFERROR(Production[[#This Row],[Available time (Hrs)]]-Production[[#This Row],[Planned downtime (Hrs)]],"")</f>
        <v>7</v>
      </c>
      <c r="J52" s="33">
        <f>IF(Production[[#This Row],[Available time (Hrs)]]="","",Production[[#This Row],[Available time (Hrs)]]-Production[[#This Row],[Actual Run Time (Hrs)]]-Production[[#This Row],[Planned downtime (Hrs)]])</f>
        <v>1</v>
      </c>
      <c r="K52" s="9" t="s">
        <v>35</v>
      </c>
      <c r="L52" s="41">
        <f>IFERROR(Production[[#This Row],[UPH]]*(Production[[#This Row],[Available time (Hrs)]]-Production[[#This Row],[Planned downtime (Hrs)]]),"")</f>
        <v>681.08108108108104</v>
      </c>
      <c r="M52" s="42">
        <v>427</v>
      </c>
      <c r="N52" s="42">
        <v>63</v>
      </c>
      <c r="O52" s="43">
        <v>1</v>
      </c>
      <c r="P52" s="44">
        <f>IFERROR(Production[[#This Row],[Defect Quantity]]/(Production[[#This Row],[Defect Quantity]]+Production[[#This Row],[Ok Quantity]]),"")</f>
        <v>0.12857142857142856</v>
      </c>
      <c r="Q52" s="44">
        <f>IFERROR(IF(Production[[#This Row],[Ok Quantity]]="","",Production[[#This Row],[Ok Quantity]]/Production[[#This Row],[Target Quantity]]),"")</f>
        <v>0.62694444444444453</v>
      </c>
      <c r="R52" s="41">
        <f>IFERROR(VLOOKUP(Production[[#This Row],[Product]],Database!B:E,4,0)*Production[[#This Row],[Defect Quantity]],"")</f>
        <v>3465</v>
      </c>
      <c r="S52" s="41">
        <f>IFERROR(VLOOKUP(Production[[#This Row],[Line]],Database!L:M,2,0)*(Production[[#This Row],[Lose Time (Hrs)]]),"")</f>
        <v>1500</v>
      </c>
      <c r="T52" s="41">
        <f>IFERROR(Production[[#This Row],[Lose Time Cost]]+Production[[#This Row],[Defect Cost]],"")</f>
        <v>4965</v>
      </c>
      <c r="U52" s="45">
        <f>IFERROR(3600/VLOOKUP(Production[[#This Row],[Product]],Database!B:E,2,0),"")</f>
        <v>97.297297297297291</v>
      </c>
      <c r="V52" s="45">
        <f>IFERROR(Production[[#This Row],[UPH]]/VLOOKUP(Production[[#This Row],[Product]],Database!B:E,3,0),"")</f>
        <v>32.432432432432428</v>
      </c>
      <c r="W52" s="46">
        <f>IFERROR(Production[[#This Row],[Actual Run Time (Hrs)]]/Production[[#This Row],[Breakdowns]],"")</f>
        <v>6</v>
      </c>
      <c r="X52" s="46">
        <f>IFERROR(Production[[#This Row],[Lose Time (Hrs)]]/Production[[#This Row],[Breakdowns]],"")</f>
        <v>1</v>
      </c>
      <c r="Y52" s="44">
        <f>IFERROR(IF(Production[[#This Row],[Actual Run Time (Hrs)]]="","",Production[[#This Row],[Actual Run Time (Hrs)]]/(Production[[#This Row],[Available time (Hrs)]]-Production[[#This Row],[Planned downtime (Hrs)]])),"")</f>
        <v>0.8571428571428571</v>
      </c>
      <c r="Z52" s="47">
        <f>IFERROR((IF(Production[[#This Row],[Ok Quantity]]="","",Production[[#This Row],[Ok Quantity]]+Production[[#This Row],[Defect Quantity]])/Production[[#This Row],[Target Quantity]]),"")</f>
        <v>0.71944444444444444</v>
      </c>
      <c r="AA52" s="47">
        <f>IFERROR(Production[[#This Row],[Ok Quantity]]/(Production[[#This Row],[Ok Quantity]]+Production[[#This Row],[Defect Quantity]]),"")</f>
        <v>0.87142857142857144</v>
      </c>
      <c r="AB52" s="44">
        <f>IFERROR(Production[[#This Row],[Quality %]]*Production[[#This Row],[Performance %]]*Production[[#This Row],[Availability %]],"")</f>
        <v>0.53738095238095229</v>
      </c>
    </row>
    <row r="53" spans="1:28" x14ac:dyDescent="0.25">
      <c r="A53" s="91" t="str">
        <f t="shared" si="1"/>
        <v/>
      </c>
      <c r="B53" s="26">
        <v>43104</v>
      </c>
      <c r="C53" s="28">
        <v>1</v>
      </c>
      <c r="D53" s="9" t="s">
        <v>27</v>
      </c>
      <c r="E53" s="9" t="s">
        <v>23</v>
      </c>
      <c r="F53" s="31">
        <v>5</v>
      </c>
      <c r="G53" s="33">
        <f>IFERROR(VLOOKUP(Production[[#This Row],[Shift]],Database!G:H,2,0),"")</f>
        <v>8</v>
      </c>
      <c r="H53" s="31">
        <v>1</v>
      </c>
      <c r="I53" s="33">
        <f>IFERROR(Production[[#This Row],[Available time (Hrs)]]-Production[[#This Row],[Planned downtime (Hrs)]],"")</f>
        <v>7</v>
      </c>
      <c r="J53" s="33">
        <f>IF(Production[[#This Row],[Available time (Hrs)]]="","",Production[[#This Row],[Available time (Hrs)]]-Production[[#This Row],[Actual Run Time (Hrs)]]-Production[[#This Row],[Planned downtime (Hrs)]])</f>
        <v>2</v>
      </c>
      <c r="K53" s="9" t="s">
        <v>33</v>
      </c>
      <c r="L53" s="41">
        <f>IFERROR(Production[[#This Row],[UPH]]*(Production[[#This Row],[Available time (Hrs)]]-Production[[#This Row],[Planned downtime (Hrs)]]),"")</f>
        <v>600</v>
      </c>
      <c r="M53" s="42">
        <v>484</v>
      </c>
      <c r="N53" s="42">
        <v>140</v>
      </c>
      <c r="O53" s="43">
        <v>1</v>
      </c>
      <c r="P53" s="44">
        <f>IFERROR(Production[[#This Row],[Defect Quantity]]/(Production[[#This Row],[Defect Quantity]]+Production[[#This Row],[Ok Quantity]]),"")</f>
        <v>0.22435897435897437</v>
      </c>
      <c r="Q53" s="44">
        <f>IFERROR(IF(Production[[#This Row],[Ok Quantity]]="","",Production[[#This Row],[Ok Quantity]]/Production[[#This Row],[Target Quantity]]),"")</f>
        <v>0.80666666666666664</v>
      </c>
      <c r="R53" s="41">
        <f>IFERROR(VLOOKUP(Production[[#This Row],[Product]],Database!B:E,4,0)*Production[[#This Row],[Defect Quantity]],"")</f>
        <v>4900</v>
      </c>
      <c r="S53" s="41">
        <f>IFERROR(VLOOKUP(Production[[#This Row],[Line]],Database!L:M,2,0)*(Production[[#This Row],[Lose Time (Hrs)]]),"")</f>
        <v>2000</v>
      </c>
      <c r="T53" s="41">
        <f>IFERROR(Production[[#This Row],[Lose Time Cost]]+Production[[#This Row],[Defect Cost]],"")</f>
        <v>6900</v>
      </c>
      <c r="U53" s="45">
        <f>IFERROR(3600/VLOOKUP(Production[[#This Row],[Product]],Database!B:E,2,0),"")</f>
        <v>85.714285714285708</v>
      </c>
      <c r="V53" s="45">
        <f>IFERROR(Production[[#This Row],[UPH]]/VLOOKUP(Production[[#This Row],[Product]],Database!B:E,3,0),"")</f>
        <v>17.142857142857142</v>
      </c>
      <c r="W53" s="46">
        <f>IFERROR(Production[[#This Row],[Actual Run Time (Hrs)]]/Production[[#This Row],[Breakdowns]],"")</f>
        <v>5</v>
      </c>
      <c r="X53" s="46">
        <f>IFERROR(Production[[#This Row],[Lose Time (Hrs)]]/Production[[#This Row],[Breakdowns]],"")</f>
        <v>2</v>
      </c>
      <c r="Y53" s="44">
        <f>IFERROR(IF(Production[[#This Row],[Actual Run Time (Hrs)]]="","",Production[[#This Row],[Actual Run Time (Hrs)]]/(Production[[#This Row],[Available time (Hrs)]]-Production[[#This Row],[Planned downtime (Hrs)]])),"")</f>
        <v>0.7142857142857143</v>
      </c>
      <c r="Z53" s="47">
        <f>IFERROR((IF(Production[[#This Row],[Ok Quantity]]="","",Production[[#This Row],[Ok Quantity]]+Production[[#This Row],[Defect Quantity]])/Production[[#This Row],[Target Quantity]]),"")</f>
        <v>1.04</v>
      </c>
      <c r="AA53" s="47">
        <f>IFERROR(Production[[#This Row],[Ok Quantity]]/(Production[[#This Row],[Ok Quantity]]+Production[[#This Row],[Defect Quantity]]),"")</f>
        <v>0.77564102564102566</v>
      </c>
      <c r="AB53" s="44">
        <f>IFERROR(Production[[#This Row],[Quality %]]*Production[[#This Row],[Performance %]]*Production[[#This Row],[Availability %]],"")</f>
        <v>0.57619047619047625</v>
      </c>
    </row>
    <row r="54" spans="1:28" x14ac:dyDescent="0.25">
      <c r="A54" s="91" t="str">
        <f t="shared" si="1"/>
        <v/>
      </c>
      <c r="B54" s="26">
        <v>42886</v>
      </c>
      <c r="C54" s="28">
        <v>3</v>
      </c>
      <c r="D54" s="9" t="s">
        <v>29</v>
      </c>
      <c r="E54" s="9" t="s">
        <v>24</v>
      </c>
      <c r="F54" s="31">
        <v>7</v>
      </c>
      <c r="G54" s="33">
        <f>IFERROR(VLOOKUP(Production[[#This Row],[Shift]],Database!G:H,2,0),"")</f>
        <v>8</v>
      </c>
      <c r="H54" s="31">
        <v>1</v>
      </c>
      <c r="I54" s="33">
        <f>IFERROR(Production[[#This Row],[Available time (Hrs)]]-Production[[#This Row],[Planned downtime (Hrs)]],"")</f>
        <v>7</v>
      </c>
      <c r="J54" s="33">
        <f>IF(Production[[#This Row],[Available time (Hrs)]]="","",Production[[#This Row],[Available time (Hrs)]]-Production[[#This Row],[Actual Run Time (Hrs)]]-Production[[#This Row],[Planned downtime (Hrs)]])</f>
        <v>0</v>
      </c>
      <c r="L54" s="41">
        <f>IFERROR(Production[[#This Row],[UPH]]*(Production[[#This Row],[Available time (Hrs)]]-Production[[#This Row],[Planned downtime (Hrs)]]),"")</f>
        <v>663.1578947368422</v>
      </c>
      <c r="M54" s="42">
        <v>478</v>
      </c>
      <c r="N54" s="42">
        <v>12</v>
      </c>
      <c r="O54" s="43">
        <v>0</v>
      </c>
      <c r="P54" s="44">
        <f>IFERROR(Production[[#This Row],[Defect Quantity]]/(Production[[#This Row],[Defect Quantity]]+Production[[#This Row],[Ok Quantity]]),"")</f>
        <v>2.4489795918367346E-2</v>
      </c>
      <c r="Q54" s="44">
        <f>IFERROR(IF(Production[[#This Row],[Ok Quantity]]="","",Production[[#This Row],[Ok Quantity]]/Production[[#This Row],[Target Quantity]]),"")</f>
        <v>0.72079365079365065</v>
      </c>
      <c r="R54" s="41">
        <f>IFERROR(VLOOKUP(Production[[#This Row],[Product]],Database!B:E,4,0)*Production[[#This Row],[Defect Quantity]],"")</f>
        <v>504</v>
      </c>
      <c r="S54" s="41">
        <f>IFERROR(VLOOKUP(Production[[#This Row],[Line]],Database!L:M,2,0)*(Production[[#This Row],[Lose Time (Hrs)]]),"")</f>
        <v>0</v>
      </c>
      <c r="T54" s="41">
        <f>IFERROR(Production[[#This Row],[Lose Time Cost]]+Production[[#This Row],[Defect Cost]],"")</f>
        <v>504</v>
      </c>
      <c r="U54" s="45">
        <f>IFERROR(3600/VLOOKUP(Production[[#This Row],[Product]],Database!B:E,2,0),"")</f>
        <v>94.736842105263165</v>
      </c>
      <c r="V54" s="45">
        <f>IFERROR(Production[[#This Row],[UPH]]/VLOOKUP(Production[[#This Row],[Product]],Database!B:E,3,0),"")</f>
        <v>47.368421052631582</v>
      </c>
      <c r="W54" s="46" t="str">
        <f>IFERROR(Production[[#This Row],[Actual Run Time (Hrs)]]/Production[[#This Row],[Breakdowns]],"")</f>
        <v/>
      </c>
      <c r="X54" s="46" t="str">
        <f>IFERROR(Production[[#This Row],[Lose Time (Hrs)]]/Production[[#This Row],[Breakdowns]],"")</f>
        <v/>
      </c>
      <c r="Y54" s="44">
        <f>IFERROR(IF(Production[[#This Row],[Actual Run Time (Hrs)]]="","",Production[[#This Row],[Actual Run Time (Hrs)]]/(Production[[#This Row],[Available time (Hrs)]]-Production[[#This Row],[Planned downtime (Hrs)]])),"")</f>
        <v>1</v>
      </c>
      <c r="Z54" s="47">
        <f>IFERROR((IF(Production[[#This Row],[Ok Quantity]]="","",Production[[#This Row],[Ok Quantity]]+Production[[#This Row],[Defect Quantity]])/Production[[#This Row],[Target Quantity]]),"")</f>
        <v>0.73888888888888882</v>
      </c>
      <c r="AA54" s="47">
        <f>IFERROR(Production[[#This Row],[Ok Quantity]]/(Production[[#This Row],[Ok Quantity]]+Production[[#This Row],[Defect Quantity]]),"")</f>
        <v>0.97551020408163269</v>
      </c>
      <c r="AB54" s="44">
        <f>IFERROR(Production[[#This Row],[Quality %]]*Production[[#This Row],[Performance %]]*Production[[#This Row],[Availability %]],"")</f>
        <v>0.72079365079365076</v>
      </c>
    </row>
    <row r="55" spans="1:28" x14ac:dyDescent="0.25">
      <c r="A55" s="91" t="str">
        <f t="shared" si="1"/>
        <v/>
      </c>
      <c r="B55" s="26">
        <v>43131</v>
      </c>
      <c r="C55" s="28">
        <v>2</v>
      </c>
      <c r="D55" s="9" t="s">
        <v>50</v>
      </c>
      <c r="E55" s="9" t="s">
        <v>21</v>
      </c>
      <c r="F55" s="31">
        <v>6</v>
      </c>
      <c r="G55" s="33">
        <f>IFERROR(VLOOKUP(Production[[#This Row],[Shift]],Database!G:H,2,0),"")</f>
        <v>8</v>
      </c>
      <c r="H55" s="31">
        <v>1</v>
      </c>
      <c r="I55" s="33">
        <f>IFERROR(Production[[#This Row],[Available time (Hrs)]]-Production[[#This Row],[Planned downtime (Hrs)]],"")</f>
        <v>7</v>
      </c>
      <c r="J55" s="33">
        <f>IF(Production[[#This Row],[Available time (Hrs)]]="","",Production[[#This Row],[Available time (Hrs)]]-Production[[#This Row],[Actual Run Time (Hrs)]]-Production[[#This Row],[Planned downtime (Hrs)]])</f>
        <v>1</v>
      </c>
      <c r="K55" s="9" t="s">
        <v>35</v>
      </c>
      <c r="L55" s="41">
        <f>IFERROR(Production[[#This Row],[UPH]]*(Production[[#This Row],[Available time (Hrs)]]-Production[[#This Row],[Planned downtime (Hrs)]]),"")</f>
        <v>630</v>
      </c>
      <c r="M55" s="42">
        <v>410</v>
      </c>
      <c r="N55" s="42">
        <v>60</v>
      </c>
      <c r="O55" s="43">
        <v>1</v>
      </c>
      <c r="P55" s="44">
        <f>IFERROR(Production[[#This Row],[Defect Quantity]]/(Production[[#This Row],[Defect Quantity]]+Production[[#This Row],[Ok Quantity]]),"")</f>
        <v>0.1276595744680851</v>
      </c>
      <c r="Q55" s="44">
        <f>IFERROR(IF(Production[[#This Row],[Ok Quantity]]="","",Production[[#This Row],[Ok Quantity]]/Production[[#This Row],[Target Quantity]]),"")</f>
        <v>0.65079365079365081</v>
      </c>
      <c r="R55" s="41">
        <f>IFERROR(VLOOKUP(Production[[#This Row],[Product]],Database!B:E,4,0)*Production[[#This Row],[Defect Quantity]],"")</f>
        <v>2400</v>
      </c>
      <c r="S55" s="41">
        <f>IFERROR(VLOOKUP(Production[[#This Row],[Line]],Database!L:M,2,0)*(Production[[#This Row],[Lose Time (Hrs)]]),"")</f>
        <v>1500</v>
      </c>
      <c r="T55" s="41">
        <f>IFERROR(Production[[#This Row],[Lose Time Cost]]+Production[[#This Row],[Defect Cost]],"")</f>
        <v>3900</v>
      </c>
      <c r="U55" s="45">
        <f>IFERROR(3600/VLOOKUP(Production[[#This Row],[Product]],Database!B:E,2,0),"")</f>
        <v>90</v>
      </c>
      <c r="V55" s="45">
        <f>IFERROR(Production[[#This Row],[UPH]]/VLOOKUP(Production[[#This Row],[Product]],Database!B:E,3,0),"")</f>
        <v>30</v>
      </c>
      <c r="W55" s="46">
        <f>IFERROR(Production[[#This Row],[Actual Run Time (Hrs)]]/Production[[#This Row],[Breakdowns]],"")</f>
        <v>6</v>
      </c>
      <c r="X55" s="46">
        <f>IFERROR(Production[[#This Row],[Lose Time (Hrs)]]/Production[[#This Row],[Breakdowns]],"")</f>
        <v>1</v>
      </c>
      <c r="Y55" s="44">
        <f>IFERROR(IF(Production[[#This Row],[Actual Run Time (Hrs)]]="","",Production[[#This Row],[Actual Run Time (Hrs)]]/(Production[[#This Row],[Available time (Hrs)]]-Production[[#This Row],[Planned downtime (Hrs)]])),"")</f>
        <v>0.8571428571428571</v>
      </c>
      <c r="Z55" s="47">
        <f>IFERROR((IF(Production[[#This Row],[Ok Quantity]]="","",Production[[#This Row],[Ok Quantity]]+Production[[#This Row],[Defect Quantity]])/Production[[#This Row],[Target Quantity]]),"")</f>
        <v>0.74603174603174605</v>
      </c>
      <c r="AA55" s="47">
        <f>IFERROR(Production[[#This Row],[Ok Quantity]]/(Production[[#This Row],[Ok Quantity]]+Production[[#This Row],[Defect Quantity]]),"")</f>
        <v>0.87234042553191493</v>
      </c>
      <c r="AB55" s="44">
        <f>IFERROR(Production[[#This Row],[Quality %]]*Production[[#This Row],[Performance %]]*Production[[#This Row],[Availability %]],"")</f>
        <v>0.55782312925170063</v>
      </c>
    </row>
    <row r="56" spans="1:28" x14ac:dyDescent="0.25">
      <c r="A56" s="91" t="str">
        <f t="shared" si="1"/>
        <v/>
      </c>
      <c r="B56" s="26">
        <v>42304</v>
      </c>
      <c r="C56" s="28">
        <v>1</v>
      </c>
      <c r="D56" s="9" t="s">
        <v>27</v>
      </c>
      <c r="E56" s="9" t="s">
        <v>19</v>
      </c>
      <c r="F56" s="31">
        <v>6</v>
      </c>
      <c r="G56" s="33">
        <f>IFERROR(VLOOKUP(Production[[#This Row],[Shift]],Database!G:H,2,0),"")</f>
        <v>8</v>
      </c>
      <c r="H56" s="31">
        <v>1</v>
      </c>
      <c r="I56" s="33">
        <f>IFERROR(Production[[#This Row],[Available time (Hrs)]]-Production[[#This Row],[Planned downtime (Hrs)]],"")</f>
        <v>7</v>
      </c>
      <c r="J56" s="33">
        <f>IF(Production[[#This Row],[Available time (Hrs)]]="","",Production[[#This Row],[Available time (Hrs)]]-Production[[#This Row],[Actual Run Time (Hrs)]]-Production[[#This Row],[Planned downtime (Hrs)]])</f>
        <v>1</v>
      </c>
      <c r="K56" s="9" t="s">
        <v>36</v>
      </c>
      <c r="L56" s="41">
        <f>IFERROR(Production[[#This Row],[UPH]]*(Production[[#This Row],[Available time (Hrs)]]-Production[[#This Row],[Planned downtime (Hrs)]]),"")</f>
        <v>630</v>
      </c>
      <c r="M56" s="42">
        <v>435</v>
      </c>
      <c r="N56" s="42">
        <v>81</v>
      </c>
      <c r="O56" s="43">
        <v>1</v>
      </c>
      <c r="P56" s="44">
        <f>IFERROR(Production[[#This Row],[Defect Quantity]]/(Production[[#This Row],[Defect Quantity]]+Production[[#This Row],[Ok Quantity]]),"")</f>
        <v>0.15697674418604651</v>
      </c>
      <c r="Q56" s="44">
        <f>IFERROR(IF(Production[[#This Row],[Ok Quantity]]="","",Production[[#This Row],[Ok Quantity]]/Production[[#This Row],[Target Quantity]]),"")</f>
        <v>0.69047619047619047</v>
      </c>
      <c r="R56" s="41">
        <f>IFERROR(VLOOKUP(Production[[#This Row],[Product]],Database!B:E,4,0)*Production[[#This Row],[Defect Quantity]],"")</f>
        <v>4860</v>
      </c>
      <c r="S56" s="41">
        <f>IFERROR(VLOOKUP(Production[[#This Row],[Line]],Database!L:M,2,0)*(Production[[#This Row],[Lose Time (Hrs)]]),"")</f>
        <v>1000</v>
      </c>
      <c r="T56" s="41">
        <f>IFERROR(Production[[#This Row],[Lose Time Cost]]+Production[[#This Row],[Defect Cost]],"")</f>
        <v>5860</v>
      </c>
      <c r="U56" s="45">
        <f>IFERROR(3600/VLOOKUP(Production[[#This Row],[Product]],Database!B:E,2,0),"")</f>
        <v>90</v>
      </c>
      <c r="V56" s="45">
        <f>IFERROR(Production[[#This Row],[UPH]]/VLOOKUP(Production[[#This Row],[Product]],Database!B:E,3,0),"")</f>
        <v>22.5</v>
      </c>
      <c r="W56" s="46">
        <f>IFERROR(Production[[#This Row],[Actual Run Time (Hrs)]]/Production[[#This Row],[Breakdowns]],"")</f>
        <v>6</v>
      </c>
      <c r="X56" s="46">
        <f>IFERROR(Production[[#This Row],[Lose Time (Hrs)]]/Production[[#This Row],[Breakdowns]],"")</f>
        <v>1</v>
      </c>
      <c r="Y56" s="44">
        <f>IFERROR(IF(Production[[#This Row],[Actual Run Time (Hrs)]]="","",Production[[#This Row],[Actual Run Time (Hrs)]]/(Production[[#This Row],[Available time (Hrs)]]-Production[[#This Row],[Planned downtime (Hrs)]])),"")</f>
        <v>0.8571428571428571</v>
      </c>
      <c r="Z56" s="47">
        <f>IFERROR((IF(Production[[#This Row],[Ok Quantity]]="","",Production[[#This Row],[Ok Quantity]]+Production[[#This Row],[Defect Quantity]])/Production[[#This Row],[Target Quantity]]),"")</f>
        <v>0.81904761904761902</v>
      </c>
      <c r="AA56" s="47">
        <f>IFERROR(Production[[#This Row],[Ok Quantity]]/(Production[[#This Row],[Ok Quantity]]+Production[[#This Row],[Defect Quantity]]),"")</f>
        <v>0.84302325581395354</v>
      </c>
      <c r="AB56" s="44">
        <f>IFERROR(Production[[#This Row],[Quality %]]*Production[[#This Row],[Performance %]]*Production[[#This Row],[Availability %]],"")</f>
        <v>0.59183673469387754</v>
      </c>
    </row>
    <row r="57" spans="1:28" x14ac:dyDescent="0.25">
      <c r="A57" s="91" t="str">
        <f t="shared" si="1"/>
        <v/>
      </c>
      <c r="B57" s="26">
        <v>43162</v>
      </c>
      <c r="C57" s="28">
        <v>1</v>
      </c>
      <c r="D57" s="9" t="s">
        <v>51</v>
      </c>
      <c r="E57" s="9" t="s">
        <v>25</v>
      </c>
      <c r="F57" s="31">
        <v>5</v>
      </c>
      <c r="G57" s="33">
        <f>IFERROR(VLOOKUP(Production[[#This Row],[Shift]],Database!G:H,2,0),"")</f>
        <v>8</v>
      </c>
      <c r="H57" s="31">
        <v>1</v>
      </c>
      <c r="I57" s="33">
        <f>IFERROR(Production[[#This Row],[Available time (Hrs)]]-Production[[#This Row],[Planned downtime (Hrs)]],"")</f>
        <v>7</v>
      </c>
      <c r="J57" s="33">
        <f>IF(Production[[#This Row],[Available time (Hrs)]]="","",Production[[#This Row],[Available time (Hrs)]]-Production[[#This Row],[Actual Run Time (Hrs)]]-Production[[#This Row],[Planned downtime (Hrs)]])</f>
        <v>2</v>
      </c>
      <c r="K57" s="9" t="s">
        <v>37</v>
      </c>
      <c r="L57" s="41">
        <f>IFERROR(Production[[#This Row],[UPH]]*(Production[[#This Row],[Available time (Hrs)]]-Production[[#This Row],[Planned downtime (Hrs)]]),"")</f>
        <v>600</v>
      </c>
      <c r="M57" s="42">
        <v>446</v>
      </c>
      <c r="N57" s="42">
        <v>62</v>
      </c>
      <c r="O57" s="43">
        <v>1</v>
      </c>
      <c r="P57" s="44">
        <f>IFERROR(Production[[#This Row],[Defect Quantity]]/(Production[[#This Row],[Defect Quantity]]+Production[[#This Row],[Ok Quantity]]),"")</f>
        <v>0.12204724409448819</v>
      </c>
      <c r="Q57" s="44">
        <f>IFERROR(IF(Production[[#This Row],[Ok Quantity]]="","",Production[[#This Row],[Ok Quantity]]/Production[[#This Row],[Target Quantity]]),"")</f>
        <v>0.74333333333333329</v>
      </c>
      <c r="R57" s="41">
        <f>IFERROR(VLOOKUP(Production[[#This Row],[Product]],Database!B:E,4,0)*Production[[#This Row],[Defect Quantity]],"")</f>
        <v>3162</v>
      </c>
      <c r="S57" s="41">
        <f>IFERROR(VLOOKUP(Production[[#This Row],[Line]],Database!L:M,2,0)*(Production[[#This Row],[Lose Time (Hrs)]]),"")</f>
        <v>2600</v>
      </c>
      <c r="T57" s="41">
        <f>IFERROR(Production[[#This Row],[Lose Time Cost]]+Production[[#This Row],[Defect Cost]],"")</f>
        <v>5762</v>
      </c>
      <c r="U57" s="45">
        <f>IFERROR(3600/VLOOKUP(Production[[#This Row],[Product]],Database!B:E,2,0),"")</f>
        <v>85.714285714285708</v>
      </c>
      <c r="V57" s="45">
        <f>IFERROR(Production[[#This Row],[UPH]]/VLOOKUP(Production[[#This Row],[Product]],Database!B:E,3,0),"")</f>
        <v>28.571428571428569</v>
      </c>
      <c r="W57" s="46">
        <f>IFERROR(Production[[#This Row],[Actual Run Time (Hrs)]]/Production[[#This Row],[Breakdowns]],"")</f>
        <v>5</v>
      </c>
      <c r="X57" s="46">
        <f>IFERROR(Production[[#This Row],[Lose Time (Hrs)]]/Production[[#This Row],[Breakdowns]],"")</f>
        <v>2</v>
      </c>
      <c r="Y57" s="44">
        <f>IFERROR(IF(Production[[#This Row],[Actual Run Time (Hrs)]]="","",Production[[#This Row],[Actual Run Time (Hrs)]]/(Production[[#This Row],[Available time (Hrs)]]-Production[[#This Row],[Planned downtime (Hrs)]])),"")</f>
        <v>0.7142857142857143</v>
      </c>
      <c r="Z57" s="47">
        <f>IFERROR((IF(Production[[#This Row],[Ok Quantity]]="","",Production[[#This Row],[Ok Quantity]]+Production[[#This Row],[Defect Quantity]])/Production[[#This Row],[Target Quantity]]),"")</f>
        <v>0.84666666666666668</v>
      </c>
      <c r="AA57" s="47">
        <f>IFERROR(Production[[#This Row],[Ok Quantity]]/(Production[[#This Row],[Ok Quantity]]+Production[[#This Row],[Defect Quantity]]),"")</f>
        <v>0.87795275590551181</v>
      </c>
      <c r="AB57" s="44">
        <f>IFERROR(Production[[#This Row],[Quality %]]*Production[[#This Row],[Performance %]]*Production[[#This Row],[Availability %]],"")</f>
        <v>0.53095238095238095</v>
      </c>
    </row>
    <row r="58" spans="1:28" x14ac:dyDescent="0.25">
      <c r="A58" s="91" t="str">
        <f t="shared" si="1"/>
        <v/>
      </c>
      <c r="B58" s="26">
        <v>43564</v>
      </c>
      <c r="C58" s="28">
        <v>2</v>
      </c>
      <c r="D58" s="9" t="s">
        <v>50</v>
      </c>
      <c r="E58" s="9" t="s">
        <v>23</v>
      </c>
      <c r="F58" s="31">
        <v>5</v>
      </c>
      <c r="G58" s="33">
        <f>IFERROR(VLOOKUP(Production[[#This Row],[Shift]],Database!G:H,2,0),"")</f>
        <v>8</v>
      </c>
      <c r="H58" s="31">
        <v>1</v>
      </c>
      <c r="I58" s="33">
        <f>IFERROR(Production[[#This Row],[Available time (Hrs)]]-Production[[#This Row],[Planned downtime (Hrs)]],"")</f>
        <v>7</v>
      </c>
      <c r="J58" s="33">
        <f>IF(Production[[#This Row],[Available time (Hrs)]]="","",Production[[#This Row],[Available time (Hrs)]]-Production[[#This Row],[Actual Run Time (Hrs)]]-Production[[#This Row],[Planned downtime (Hrs)]])</f>
        <v>2</v>
      </c>
      <c r="K58" s="9" t="s">
        <v>37</v>
      </c>
      <c r="L58" s="41">
        <f>IFERROR(Production[[#This Row],[UPH]]*(Production[[#This Row],[Available time (Hrs)]]-Production[[#This Row],[Planned downtime (Hrs)]]),"")</f>
        <v>600</v>
      </c>
      <c r="M58" s="42">
        <v>444</v>
      </c>
      <c r="N58" s="42">
        <v>81</v>
      </c>
      <c r="O58" s="43">
        <v>1</v>
      </c>
      <c r="P58" s="44">
        <f>IFERROR(Production[[#This Row],[Defect Quantity]]/(Production[[#This Row],[Defect Quantity]]+Production[[#This Row],[Ok Quantity]]),"")</f>
        <v>0.15428571428571428</v>
      </c>
      <c r="Q58" s="44">
        <f>IFERROR(IF(Production[[#This Row],[Ok Quantity]]="","",Production[[#This Row],[Ok Quantity]]/Production[[#This Row],[Target Quantity]]),"")</f>
        <v>0.74</v>
      </c>
      <c r="R58" s="41">
        <f>IFERROR(VLOOKUP(Production[[#This Row],[Product]],Database!B:E,4,0)*Production[[#This Row],[Defect Quantity]],"")</f>
        <v>2835</v>
      </c>
      <c r="S58" s="41">
        <f>IFERROR(VLOOKUP(Production[[#This Row],[Line]],Database!L:M,2,0)*(Production[[#This Row],[Lose Time (Hrs)]]),"")</f>
        <v>3000</v>
      </c>
      <c r="T58" s="41">
        <f>IFERROR(Production[[#This Row],[Lose Time Cost]]+Production[[#This Row],[Defect Cost]],"")</f>
        <v>5835</v>
      </c>
      <c r="U58" s="45">
        <f>IFERROR(3600/VLOOKUP(Production[[#This Row],[Product]],Database!B:E,2,0),"")</f>
        <v>85.714285714285708</v>
      </c>
      <c r="V58" s="45">
        <f>IFERROR(Production[[#This Row],[UPH]]/VLOOKUP(Production[[#This Row],[Product]],Database!B:E,3,0),"")</f>
        <v>17.142857142857142</v>
      </c>
      <c r="W58" s="46">
        <f>IFERROR(Production[[#This Row],[Actual Run Time (Hrs)]]/Production[[#This Row],[Breakdowns]],"")</f>
        <v>5</v>
      </c>
      <c r="X58" s="46">
        <f>IFERROR(Production[[#This Row],[Lose Time (Hrs)]]/Production[[#This Row],[Breakdowns]],"")</f>
        <v>2</v>
      </c>
      <c r="Y58" s="44">
        <f>IFERROR(IF(Production[[#This Row],[Actual Run Time (Hrs)]]="","",Production[[#This Row],[Actual Run Time (Hrs)]]/(Production[[#This Row],[Available time (Hrs)]]-Production[[#This Row],[Planned downtime (Hrs)]])),"")</f>
        <v>0.7142857142857143</v>
      </c>
      <c r="Z58" s="47">
        <f>IFERROR((IF(Production[[#This Row],[Ok Quantity]]="","",Production[[#This Row],[Ok Quantity]]+Production[[#This Row],[Defect Quantity]])/Production[[#This Row],[Target Quantity]]),"")</f>
        <v>0.875</v>
      </c>
      <c r="AA58" s="47">
        <f>IFERROR(Production[[#This Row],[Ok Quantity]]/(Production[[#This Row],[Ok Quantity]]+Production[[#This Row],[Defect Quantity]]),"")</f>
        <v>0.84571428571428575</v>
      </c>
      <c r="AB58" s="44">
        <f>IFERROR(Production[[#This Row],[Quality %]]*Production[[#This Row],[Performance %]]*Production[[#This Row],[Availability %]],"")</f>
        <v>0.52857142857142858</v>
      </c>
    </row>
    <row r="59" spans="1:28" x14ac:dyDescent="0.25">
      <c r="A59" s="91" t="str">
        <f t="shared" si="1"/>
        <v/>
      </c>
      <c r="B59" s="26">
        <v>42906</v>
      </c>
      <c r="C59" s="28">
        <v>3</v>
      </c>
      <c r="D59" s="9" t="s">
        <v>50</v>
      </c>
      <c r="E59" s="9" t="s">
        <v>23</v>
      </c>
      <c r="F59" s="31">
        <v>7</v>
      </c>
      <c r="G59" s="33">
        <f>IFERROR(VLOOKUP(Production[[#This Row],[Shift]],Database!G:H,2,0),"")</f>
        <v>8</v>
      </c>
      <c r="H59" s="31">
        <v>1</v>
      </c>
      <c r="I59" s="33">
        <f>IFERROR(Production[[#This Row],[Available time (Hrs)]]-Production[[#This Row],[Planned downtime (Hrs)]],"")</f>
        <v>7</v>
      </c>
      <c r="J59" s="33">
        <f>IF(Production[[#This Row],[Available time (Hrs)]]="","",Production[[#This Row],[Available time (Hrs)]]-Production[[#This Row],[Actual Run Time (Hrs)]]-Production[[#This Row],[Planned downtime (Hrs)]])</f>
        <v>0</v>
      </c>
      <c r="L59" s="41">
        <f>IFERROR(Production[[#This Row],[UPH]]*(Production[[#This Row],[Available time (Hrs)]]-Production[[#This Row],[Planned downtime (Hrs)]]),"")</f>
        <v>600</v>
      </c>
      <c r="M59" s="42">
        <v>429</v>
      </c>
      <c r="N59" s="42">
        <v>73</v>
      </c>
      <c r="O59" s="43">
        <v>0</v>
      </c>
      <c r="P59" s="44">
        <f>IFERROR(Production[[#This Row],[Defect Quantity]]/(Production[[#This Row],[Defect Quantity]]+Production[[#This Row],[Ok Quantity]]),"")</f>
        <v>0.1454183266932271</v>
      </c>
      <c r="Q59" s="44">
        <f>IFERROR(IF(Production[[#This Row],[Ok Quantity]]="","",Production[[#This Row],[Ok Quantity]]/Production[[#This Row],[Target Quantity]]),"")</f>
        <v>0.71499999999999997</v>
      </c>
      <c r="R59" s="41">
        <f>IFERROR(VLOOKUP(Production[[#This Row],[Product]],Database!B:E,4,0)*Production[[#This Row],[Defect Quantity]],"")</f>
        <v>2555</v>
      </c>
      <c r="S59" s="41">
        <f>IFERROR(VLOOKUP(Production[[#This Row],[Line]],Database!L:M,2,0)*(Production[[#This Row],[Lose Time (Hrs)]]),"")</f>
        <v>0</v>
      </c>
      <c r="T59" s="41">
        <f>IFERROR(Production[[#This Row],[Lose Time Cost]]+Production[[#This Row],[Defect Cost]],"")</f>
        <v>2555</v>
      </c>
      <c r="U59" s="45">
        <f>IFERROR(3600/VLOOKUP(Production[[#This Row],[Product]],Database!B:E,2,0),"")</f>
        <v>85.714285714285708</v>
      </c>
      <c r="V59" s="45">
        <f>IFERROR(Production[[#This Row],[UPH]]/VLOOKUP(Production[[#This Row],[Product]],Database!B:E,3,0),"")</f>
        <v>17.142857142857142</v>
      </c>
      <c r="W59" s="46" t="str">
        <f>IFERROR(Production[[#This Row],[Actual Run Time (Hrs)]]/Production[[#This Row],[Breakdowns]],"")</f>
        <v/>
      </c>
      <c r="X59" s="46" t="str">
        <f>IFERROR(Production[[#This Row],[Lose Time (Hrs)]]/Production[[#This Row],[Breakdowns]],"")</f>
        <v/>
      </c>
      <c r="Y59" s="44">
        <f>IFERROR(IF(Production[[#This Row],[Actual Run Time (Hrs)]]="","",Production[[#This Row],[Actual Run Time (Hrs)]]/(Production[[#This Row],[Available time (Hrs)]]-Production[[#This Row],[Planned downtime (Hrs)]])),"")</f>
        <v>1</v>
      </c>
      <c r="Z59" s="47">
        <f>IFERROR((IF(Production[[#This Row],[Ok Quantity]]="","",Production[[#This Row],[Ok Quantity]]+Production[[#This Row],[Defect Quantity]])/Production[[#This Row],[Target Quantity]]),"")</f>
        <v>0.83666666666666667</v>
      </c>
      <c r="AA59" s="47">
        <f>IFERROR(Production[[#This Row],[Ok Quantity]]/(Production[[#This Row],[Ok Quantity]]+Production[[#This Row],[Defect Quantity]]),"")</f>
        <v>0.85458167330677293</v>
      </c>
      <c r="AB59" s="44">
        <f>IFERROR(Production[[#This Row],[Quality %]]*Production[[#This Row],[Performance %]]*Production[[#This Row],[Availability %]],"")</f>
        <v>0.71499999999999997</v>
      </c>
    </row>
    <row r="60" spans="1:28" x14ac:dyDescent="0.25">
      <c r="A60" s="91" t="str">
        <f t="shared" si="1"/>
        <v/>
      </c>
      <c r="B60" s="26">
        <v>43331</v>
      </c>
      <c r="C60" s="28">
        <v>3</v>
      </c>
      <c r="D60" s="9" t="s">
        <v>28</v>
      </c>
      <c r="E60" s="9" t="s">
        <v>19</v>
      </c>
      <c r="F60" s="31">
        <v>6</v>
      </c>
      <c r="G60" s="33">
        <f>IFERROR(VLOOKUP(Production[[#This Row],[Shift]],Database!G:H,2,0),"")</f>
        <v>8</v>
      </c>
      <c r="H60" s="31">
        <v>1</v>
      </c>
      <c r="I60" s="33">
        <f>IFERROR(Production[[#This Row],[Available time (Hrs)]]-Production[[#This Row],[Planned downtime (Hrs)]],"")</f>
        <v>7</v>
      </c>
      <c r="J60" s="33">
        <f>IF(Production[[#This Row],[Available time (Hrs)]]="","",Production[[#This Row],[Available time (Hrs)]]-Production[[#This Row],[Actual Run Time (Hrs)]]-Production[[#This Row],[Planned downtime (Hrs)]])</f>
        <v>1</v>
      </c>
      <c r="K60" s="9" t="s">
        <v>32</v>
      </c>
      <c r="L60" s="41">
        <f>IFERROR(Production[[#This Row],[UPH]]*(Production[[#This Row],[Available time (Hrs)]]-Production[[#This Row],[Planned downtime (Hrs)]]),"")</f>
        <v>630</v>
      </c>
      <c r="M60" s="42">
        <v>441</v>
      </c>
      <c r="N60" s="42">
        <v>90</v>
      </c>
      <c r="O60" s="43">
        <v>1</v>
      </c>
      <c r="P60" s="44">
        <f>IFERROR(Production[[#This Row],[Defect Quantity]]/(Production[[#This Row],[Defect Quantity]]+Production[[#This Row],[Ok Quantity]]),"")</f>
        <v>0.16949152542372881</v>
      </c>
      <c r="Q60" s="44">
        <f>IFERROR(IF(Production[[#This Row],[Ok Quantity]]="","",Production[[#This Row],[Ok Quantity]]/Production[[#This Row],[Target Quantity]]),"")</f>
        <v>0.7</v>
      </c>
      <c r="R60" s="41">
        <f>IFERROR(VLOOKUP(Production[[#This Row],[Product]],Database!B:E,4,0)*Production[[#This Row],[Defect Quantity]],"")</f>
        <v>5400</v>
      </c>
      <c r="S60" s="41">
        <f>IFERROR(VLOOKUP(Production[[#This Row],[Line]],Database!L:M,2,0)*(Production[[#This Row],[Lose Time (Hrs)]]),"")</f>
        <v>1200</v>
      </c>
      <c r="T60" s="41">
        <f>IFERROR(Production[[#This Row],[Lose Time Cost]]+Production[[#This Row],[Defect Cost]],"")</f>
        <v>6600</v>
      </c>
      <c r="U60" s="45">
        <f>IFERROR(3600/VLOOKUP(Production[[#This Row],[Product]],Database!B:E,2,0),"")</f>
        <v>90</v>
      </c>
      <c r="V60" s="45">
        <f>IFERROR(Production[[#This Row],[UPH]]/VLOOKUP(Production[[#This Row],[Product]],Database!B:E,3,0),"")</f>
        <v>22.5</v>
      </c>
      <c r="W60" s="46">
        <f>IFERROR(Production[[#This Row],[Actual Run Time (Hrs)]]/Production[[#This Row],[Breakdowns]],"")</f>
        <v>6</v>
      </c>
      <c r="X60" s="46">
        <f>IFERROR(Production[[#This Row],[Lose Time (Hrs)]]/Production[[#This Row],[Breakdowns]],"")</f>
        <v>1</v>
      </c>
      <c r="Y60" s="44">
        <f>IFERROR(IF(Production[[#This Row],[Actual Run Time (Hrs)]]="","",Production[[#This Row],[Actual Run Time (Hrs)]]/(Production[[#This Row],[Available time (Hrs)]]-Production[[#This Row],[Planned downtime (Hrs)]])),"")</f>
        <v>0.8571428571428571</v>
      </c>
      <c r="Z60" s="47">
        <f>IFERROR((IF(Production[[#This Row],[Ok Quantity]]="","",Production[[#This Row],[Ok Quantity]]+Production[[#This Row],[Defect Quantity]])/Production[[#This Row],[Target Quantity]]),"")</f>
        <v>0.84285714285714286</v>
      </c>
      <c r="AA60" s="47">
        <f>IFERROR(Production[[#This Row],[Ok Quantity]]/(Production[[#This Row],[Ok Quantity]]+Production[[#This Row],[Defect Quantity]]),"")</f>
        <v>0.83050847457627119</v>
      </c>
      <c r="AB60" s="44">
        <f>IFERROR(Production[[#This Row],[Quality %]]*Production[[#This Row],[Performance %]]*Production[[#This Row],[Availability %]],"")</f>
        <v>0.6</v>
      </c>
    </row>
    <row r="61" spans="1:28" x14ac:dyDescent="0.25">
      <c r="A61" s="91" t="str">
        <f t="shared" si="1"/>
        <v/>
      </c>
      <c r="B61" s="26">
        <v>43159</v>
      </c>
      <c r="C61" s="28">
        <v>3</v>
      </c>
      <c r="D61" s="9" t="s">
        <v>50</v>
      </c>
      <c r="E61" s="9" t="s">
        <v>21</v>
      </c>
      <c r="F61" s="31">
        <v>5</v>
      </c>
      <c r="G61" s="33">
        <f>IFERROR(VLOOKUP(Production[[#This Row],[Shift]],Database!G:H,2,0),"")</f>
        <v>8</v>
      </c>
      <c r="H61" s="31">
        <v>1</v>
      </c>
      <c r="I61" s="33">
        <f>IFERROR(Production[[#This Row],[Available time (Hrs)]]-Production[[#This Row],[Planned downtime (Hrs)]],"")</f>
        <v>7</v>
      </c>
      <c r="J61" s="33">
        <f>IF(Production[[#This Row],[Available time (Hrs)]]="","",Production[[#This Row],[Available time (Hrs)]]-Production[[#This Row],[Actual Run Time (Hrs)]]-Production[[#This Row],[Planned downtime (Hrs)]])</f>
        <v>2</v>
      </c>
      <c r="K61" s="9" t="s">
        <v>68</v>
      </c>
      <c r="L61" s="41">
        <f>IFERROR(Production[[#This Row],[UPH]]*(Production[[#This Row],[Available time (Hrs)]]-Production[[#This Row],[Planned downtime (Hrs)]]),"")</f>
        <v>630</v>
      </c>
      <c r="M61" s="42">
        <v>482</v>
      </c>
      <c r="N61" s="42">
        <v>79</v>
      </c>
      <c r="O61" s="43">
        <v>1</v>
      </c>
      <c r="P61" s="44">
        <f>IFERROR(Production[[#This Row],[Defect Quantity]]/(Production[[#This Row],[Defect Quantity]]+Production[[#This Row],[Ok Quantity]]),"")</f>
        <v>0.1408199643493761</v>
      </c>
      <c r="Q61" s="44">
        <f>IFERROR(IF(Production[[#This Row],[Ok Quantity]]="","",Production[[#This Row],[Ok Quantity]]/Production[[#This Row],[Target Quantity]]),"")</f>
        <v>0.76507936507936503</v>
      </c>
      <c r="R61" s="41">
        <f>IFERROR(VLOOKUP(Production[[#This Row],[Product]],Database!B:E,4,0)*Production[[#This Row],[Defect Quantity]],"")</f>
        <v>3160</v>
      </c>
      <c r="S61" s="41">
        <f>IFERROR(VLOOKUP(Production[[#This Row],[Line]],Database!L:M,2,0)*(Production[[#This Row],[Lose Time (Hrs)]]),"")</f>
        <v>3000</v>
      </c>
      <c r="T61" s="41">
        <f>IFERROR(Production[[#This Row],[Lose Time Cost]]+Production[[#This Row],[Defect Cost]],"")</f>
        <v>6160</v>
      </c>
      <c r="U61" s="45">
        <f>IFERROR(3600/VLOOKUP(Production[[#This Row],[Product]],Database!B:E,2,0),"")</f>
        <v>90</v>
      </c>
      <c r="V61" s="45">
        <f>IFERROR(Production[[#This Row],[UPH]]/VLOOKUP(Production[[#This Row],[Product]],Database!B:E,3,0),"")</f>
        <v>30</v>
      </c>
      <c r="W61" s="46">
        <f>IFERROR(Production[[#This Row],[Actual Run Time (Hrs)]]/Production[[#This Row],[Breakdowns]],"")</f>
        <v>5</v>
      </c>
      <c r="X61" s="46">
        <f>IFERROR(Production[[#This Row],[Lose Time (Hrs)]]/Production[[#This Row],[Breakdowns]],"")</f>
        <v>2</v>
      </c>
      <c r="Y61" s="44">
        <f>IFERROR(IF(Production[[#This Row],[Actual Run Time (Hrs)]]="","",Production[[#This Row],[Actual Run Time (Hrs)]]/(Production[[#This Row],[Available time (Hrs)]]-Production[[#This Row],[Planned downtime (Hrs)]])),"")</f>
        <v>0.7142857142857143</v>
      </c>
      <c r="Z61" s="47">
        <f>IFERROR((IF(Production[[#This Row],[Ok Quantity]]="","",Production[[#This Row],[Ok Quantity]]+Production[[#This Row],[Defect Quantity]])/Production[[#This Row],[Target Quantity]]),"")</f>
        <v>0.89047619047619042</v>
      </c>
      <c r="AA61" s="47">
        <f>IFERROR(Production[[#This Row],[Ok Quantity]]/(Production[[#This Row],[Ok Quantity]]+Production[[#This Row],[Defect Quantity]]),"")</f>
        <v>0.85918003565062384</v>
      </c>
      <c r="AB61" s="44">
        <f>IFERROR(Production[[#This Row],[Quality %]]*Production[[#This Row],[Performance %]]*Production[[#This Row],[Availability %]],"")</f>
        <v>0.54648526077097503</v>
      </c>
    </row>
    <row r="62" spans="1:28" x14ac:dyDescent="0.25">
      <c r="A62" s="91" t="str">
        <f t="shared" si="1"/>
        <v/>
      </c>
      <c r="B62" s="26">
        <v>43558</v>
      </c>
      <c r="C62" s="28">
        <v>3</v>
      </c>
      <c r="D62" s="9" t="s">
        <v>28</v>
      </c>
      <c r="E62" s="9" t="s">
        <v>23</v>
      </c>
      <c r="F62" s="31">
        <v>6</v>
      </c>
      <c r="G62" s="33">
        <f>IFERROR(VLOOKUP(Production[[#This Row],[Shift]],Database!G:H,2,0),"")</f>
        <v>8</v>
      </c>
      <c r="H62" s="31">
        <v>1</v>
      </c>
      <c r="I62" s="33">
        <f>IFERROR(Production[[#This Row],[Available time (Hrs)]]-Production[[#This Row],[Planned downtime (Hrs)]],"")</f>
        <v>7</v>
      </c>
      <c r="J62" s="33">
        <f>IF(Production[[#This Row],[Available time (Hrs)]]="","",Production[[#This Row],[Available time (Hrs)]]-Production[[#This Row],[Actual Run Time (Hrs)]]-Production[[#This Row],[Planned downtime (Hrs)]])</f>
        <v>1</v>
      </c>
      <c r="K62" s="9" t="s">
        <v>36</v>
      </c>
      <c r="L62" s="41">
        <f>IFERROR(Production[[#This Row],[UPH]]*(Production[[#This Row],[Available time (Hrs)]]-Production[[#This Row],[Planned downtime (Hrs)]]),"")</f>
        <v>600</v>
      </c>
      <c r="M62" s="42">
        <v>475</v>
      </c>
      <c r="N62" s="42">
        <v>69</v>
      </c>
      <c r="O62" s="43">
        <v>1</v>
      </c>
      <c r="P62" s="44">
        <f>IFERROR(Production[[#This Row],[Defect Quantity]]/(Production[[#This Row],[Defect Quantity]]+Production[[#This Row],[Ok Quantity]]),"")</f>
        <v>0.12683823529411764</v>
      </c>
      <c r="Q62" s="44">
        <f>IFERROR(IF(Production[[#This Row],[Ok Quantity]]="","",Production[[#This Row],[Ok Quantity]]/Production[[#This Row],[Target Quantity]]),"")</f>
        <v>0.79166666666666663</v>
      </c>
      <c r="R62" s="41">
        <f>IFERROR(VLOOKUP(Production[[#This Row],[Product]],Database!B:E,4,0)*Production[[#This Row],[Defect Quantity]],"")</f>
        <v>2415</v>
      </c>
      <c r="S62" s="41">
        <f>IFERROR(VLOOKUP(Production[[#This Row],[Line]],Database!L:M,2,0)*(Production[[#This Row],[Lose Time (Hrs)]]),"")</f>
        <v>1200</v>
      </c>
      <c r="T62" s="41">
        <f>IFERROR(Production[[#This Row],[Lose Time Cost]]+Production[[#This Row],[Defect Cost]],"")</f>
        <v>3615</v>
      </c>
      <c r="U62" s="45">
        <f>IFERROR(3600/VLOOKUP(Production[[#This Row],[Product]],Database!B:E,2,0),"")</f>
        <v>85.714285714285708</v>
      </c>
      <c r="V62" s="45">
        <f>IFERROR(Production[[#This Row],[UPH]]/VLOOKUP(Production[[#This Row],[Product]],Database!B:E,3,0),"")</f>
        <v>17.142857142857142</v>
      </c>
      <c r="W62" s="46">
        <f>IFERROR(Production[[#This Row],[Actual Run Time (Hrs)]]/Production[[#This Row],[Breakdowns]],"")</f>
        <v>6</v>
      </c>
      <c r="X62" s="46">
        <f>IFERROR(Production[[#This Row],[Lose Time (Hrs)]]/Production[[#This Row],[Breakdowns]],"")</f>
        <v>1</v>
      </c>
      <c r="Y62" s="44">
        <f>IFERROR(IF(Production[[#This Row],[Actual Run Time (Hrs)]]="","",Production[[#This Row],[Actual Run Time (Hrs)]]/(Production[[#This Row],[Available time (Hrs)]]-Production[[#This Row],[Planned downtime (Hrs)]])),"")</f>
        <v>0.8571428571428571</v>
      </c>
      <c r="Z62" s="47">
        <f>IFERROR((IF(Production[[#This Row],[Ok Quantity]]="","",Production[[#This Row],[Ok Quantity]]+Production[[#This Row],[Defect Quantity]])/Production[[#This Row],[Target Quantity]]),"")</f>
        <v>0.90666666666666662</v>
      </c>
      <c r="AA62" s="47">
        <f>IFERROR(Production[[#This Row],[Ok Quantity]]/(Production[[#This Row],[Ok Quantity]]+Production[[#This Row],[Defect Quantity]]),"")</f>
        <v>0.87316176470588236</v>
      </c>
      <c r="AB62" s="44">
        <f>IFERROR(Production[[#This Row],[Quality %]]*Production[[#This Row],[Performance %]]*Production[[#This Row],[Availability %]],"")</f>
        <v>0.67857142857142849</v>
      </c>
    </row>
    <row r="63" spans="1:28" x14ac:dyDescent="0.25">
      <c r="A63" s="91" t="str">
        <f t="shared" si="1"/>
        <v/>
      </c>
      <c r="B63" s="26">
        <v>42062</v>
      </c>
      <c r="C63" s="28">
        <v>2</v>
      </c>
      <c r="D63" s="9" t="s">
        <v>27</v>
      </c>
      <c r="E63" s="9" t="s">
        <v>22</v>
      </c>
      <c r="F63" s="31">
        <v>7</v>
      </c>
      <c r="G63" s="33">
        <f>IFERROR(VLOOKUP(Production[[#This Row],[Shift]],Database!G:H,2,0),"")</f>
        <v>8</v>
      </c>
      <c r="H63" s="31">
        <v>1</v>
      </c>
      <c r="I63" s="33">
        <f>IFERROR(Production[[#This Row],[Available time (Hrs)]]-Production[[#This Row],[Planned downtime (Hrs)]],"")</f>
        <v>7</v>
      </c>
      <c r="J63" s="33">
        <f>IF(Production[[#This Row],[Available time (Hrs)]]="","",Production[[#This Row],[Available time (Hrs)]]-Production[[#This Row],[Actual Run Time (Hrs)]]-Production[[#This Row],[Planned downtime (Hrs)]])</f>
        <v>0</v>
      </c>
      <c r="L63" s="41">
        <f>IFERROR(Production[[#This Row],[UPH]]*(Production[[#This Row],[Available time (Hrs)]]-Production[[#This Row],[Planned downtime (Hrs)]]),"")</f>
        <v>681.08108108108104</v>
      </c>
      <c r="M63" s="42">
        <v>407</v>
      </c>
      <c r="N63" s="42">
        <v>78</v>
      </c>
      <c r="O63" s="43">
        <v>0</v>
      </c>
      <c r="P63" s="44">
        <f>IFERROR(Production[[#This Row],[Defect Quantity]]/(Production[[#This Row],[Defect Quantity]]+Production[[#This Row],[Ok Quantity]]),"")</f>
        <v>0.16082474226804125</v>
      </c>
      <c r="Q63" s="44">
        <f>IFERROR(IF(Production[[#This Row],[Ok Quantity]]="","",Production[[#This Row],[Ok Quantity]]/Production[[#This Row],[Target Quantity]]),"")</f>
        <v>0.59757936507936515</v>
      </c>
      <c r="R63" s="41">
        <f>IFERROR(VLOOKUP(Production[[#This Row],[Product]],Database!B:E,4,0)*Production[[#This Row],[Defect Quantity]],"")</f>
        <v>4290</v>
      </c>
      <c r="S63" s="41">
        <f>IFERROR(VLOOKUP(Production[[#This Row],[Line]],Database!L:M,2,0)*(Production[[#This Row],[Lose Time (Hrs)]]),"")</f>
        <v>0</v>
      </c>
      <c r="T63" s="41">
        <f>IFERROR(Production[[#This Row],[Lose Time Cost]]+Production[[#This Row],[Defect Cost]],"")</f>
        <v>4290</v>
      </c>
      <c r="U63" s="45">
        <f>IFERROR(3600/VLOOKUP(Production[[#This Row],[Product]],Database!B:E,2,0),"")</f>
        <v>97.297297297297291</v>
      </c>
      <c r="V63" s="45">
        <f>IFERROR(Production[[#This Row],[UPH]]/VLOOKUP(Production[[#This Row],[Product]],Database!B:E,3,0),"")</f>
        <v>32.432432432432428</v>
      </c>
      <c r="W63" s="46" t="str">
        <f>IFERROR(Production[[#This Row],[Actual Run Time (Hrs)]]/Production[[#This Row],[Breakdowns]],"")</f>
        <v/>
      </c>
      <c r="X63" s="46" t="str">
        <f>IFERROR(Production[[#This Row],[Lose Time (Hrs)]]/Production[[#This Row],[Breakdowns]],"")</f>
        <v/>
      </c>
      <c r="Y63" s="44">
        <f>IFERROR(IF(Production[[#This Row],[Actual Run Time (Hrs)]]="","",Production[[#This Row],[Actual Run Time (Hrs)]]/(Production[[#This Row],[Available time (Hrs)]]-Production[[#This Row],[Planned downtime (Hrs)]])),"")</f>
        <v>1</v>
      </c>
      <c r="Z63" s="47">
        <f>IFERROR((IF(Production[[#This Row],[Ok Quantity]]="","",Production[[#This Row],[Ok Quantity]]+Production[[#This Row],[Defect Quantity]])/Production[[#This Row],[Target Quantity]]),"")</f>
        <v>0.71210317460317463</v>
      </c>
      <c r="AA63" s="47">
        <f>IFERROR(Production[[#This Row],[Ok Quantity]]/(Production[[#This Row],[Ok Quantity]]+Production[[#This Row],[Defect Quantity]]),"")</f>
        <v>0.83917525773195878</v>
      </c>
      <c r="AB63" s="44">
        <f>IFERROR(Production[[#This Row],[Quality %]]*Production[[#This Row],[Performance %]]*Production[[#This Row],[Availability %]],"")</f>
        <v>0.59757936507936515</v>
      </c>
    </row>
    <row r="64" spans="1:28" x14ac:dyDescent="0.25">
      <c r="A64" s="91" t="str">
        <f t="shared" si="1"/>
        <v/>
      </c>
      <c r="B64" s="26">
        <v>42736</v>
      </c>
      <c r="C64" s="28">
        <v>2</v>
      </c>
      <c r="D64" s="9" t="s">
        <v>28</v>
      </c>
      <c r="E64" s="9" t="s">
        <v>22</v>
      </c>
      <c r="F64" s="31">
        <v>7</v>
      </c>
      <c r="G64" s="33">
        <f>IFERROR(VLOOKUP(Production[[#This Row],[Shift]],Database!G:H,2,0),"")</f>
        <v>8</v>
      </c>
      <c r="H64" s="31">
        <v>1</v>
      </c>
      <c r="I64" s="33">
        <f>IFERROR(Production[[#This Row],[Available time (Hrs)]]-Production[[#This Row],[Planned downtime (Hrs)]],"")</f>
        <v>7</v>
      </c>
      <c r="J64" s="33">
        <f>IF(Production[[#This Row],[Available time (Hrs)]]="","",Production[[#This Row],[Available time (Hrs)]]-Production[[#This Row],[Actual Run Time (Hrs)]]-Production[[#This Row],[Planned downtime (Hrs)]])</f>
        <v>0</v>
      </c>
      <c r="L64" s="41">
        <f>IFERROR(Production[[#This Row],[UPH]]*(Production[[#This Row],[Available time (Hrs)]]-Production[[#This Row],[Planned downtime (Hrs)]]),"")</f>
        <v>681.08108108108104</v>
      </c>
      <c r="M64" s="42">
        <v>441</v>
      </c>
      <c r="N64" s="42">
        <v>90</v>
      </c>
      <c r="O64" s="43">
        <v>0</v>
      </c>
      <c r="P64" s="44">
        <f>IFERROR(Production[[#This Row],[Defect Quantity]]/(Production[[#This Row],[Defect Quantity]]+Production[[#This Row],[Ok Quantity]]),"")</f>
        <v>0.16949152542372881</v>
      </c>
      <c r="Q64" s="44">
        <f>IFERROR(IF(Production[[#This Row],[Ok Quantity]]="","",Production[[#This Row],[Ok Quantity]]/Production[[#This Row],[Target Quantity]]),"")</f>
        <v>0.64750000000000008</v>
      </c>
      <c r="R64" s="41">
        <f>IFERROR(VLOOKUP(Production[[#This Row],[Product]],Database!B:E,4,0)*Production[[#This Row],[Defect Quantity]],"")</f>
        <v>4950</v>
      </c>
      <c r="S64" s="41">
        <f>IFERROR(VLOOKUP(Production[[#This Row],[Line]],Database!L:M,2,0)*(Production[[#This Row],[Lose Time (Hrs)]]),"")</f>
        <v>0</v>
      </c>
      <c r="T64" s="41">
        <f>IFERROR(Production[[#This Row],[Lose Time Cost]]+Production[[#This Row],[Defect Cost]],"")</f>
        <v>4950</v>
      </c>
      <c r="U64" s="45">
        <f>IFERROR(3600/VLOOKUP(Production[[#This Row],[Product]],Database!B:E,2,0),"")</f>
        <v>97.297297297297291</v>
      </c>
      <c r="V64" s="45">
        <f>IFERROR(Production[[#This Row],[UPH]]/VLOOKUP(Production[[#This Row],[Product]],Database!B:E,3,0),"")</f>
        <v>32.432432432432428</v>
      </c>
      <c r="W64" s="46" t="str">
        <f>IFERROR(Production[[#This Row],[Actual Run Time (Hrs)]]/Production[[#This Row],[Breakdowns]],"")</f>
        <v/>
      </c>
      <c r="X64" s="46" t="str">
        <f>IFERROR(Production[[#This Row],[Lose Time (Hrs)]]/Production[[#This Row],[Breakdowns]],"")</f>
        <v/>
      </c>
      <c r="Y64" s="44">
        <f>IFERROR(IF(Production[[#This Row],[Actual Run Time (Hrs)]]="","",Production[[#This Row],[Actual Run Time (Hrs)]]/(Production[[#This Row],[Available time (Hrs)]]-Production[[#This Row],[Planned downtime (Hrs)]])),"")</f>
        <v>1</v>
      </c>
      <c r="Z64" s="47">
        <f>IFERROR((IF(Production[[#This Row],[Ok Quantity]]="","",Production[[#This Row],[Ok Quantity]]+Production[[#This Row],[Defect Quantity]])/Production[[#This Row],[Target Quantity]]),"")</f>
        <v>0.77964285714285719</v>
      </c>
      <c r="AA64" s="47">
        <f>IFERROR(Production[[#This Row],[Ok Quantity]]/(Production[[#This Row],[Ok Quantity]]+Production[[#This Row],[Defect Quantity]]),"")</f>
        <v>0.83050847457627119</v>
      </c>
      <c r="AB64" s="44">
        <f>IFERROR(Production[[#This Row],[Quality %]]*Production[[#This Row],[Performance %]]*Production[[#This Row],[Availability %]],"")</f>
        <v>0.64750000000000008</v>
      </c>
    </row>
    <row r="65" spans="1:28" x14ac:dyDescent="0.25">
      <c r="A65" s="91" t="str">
        <f t="shared" si="1"/>
        <v/>
      </c>
      <c r="B65" s="26">
        <v>42411</v>
      </c>
      <c r="C65" s="28">
        <v>3</v>
      </c>
      <c r="D65" s="9" t="s">
        <v>28</v>
      </c>
      <c r="E65" s="9" t="s">
        <v>22</v>
      </c>
      <c r="F65" s="31">
        <v>5</v>
      </c>
      <c r="G65" s="33">
        <f>IFERROR(VLOOKUP(Production[[#This Row],[Shift]],Database!G:H,2,0),"")</f>
        <v>8</v>
      </c>
      <c r="H65" s="31">
        <v>1</v>
      </c>
      <c r="I65" s="33">
        <f>IFERROR(Production[[#This Row],[Available time (Hrs)]]-Production[[#This Row],[Planned downtime (Hrs)]],"")</f>
        <v>7</v>
      </c>
      <c r="J65" s="33">
        <f>IF(Production[[#This Row],[Available time (Hrs)]]="","",Production[[#This Row],[Available time (Hrs)]]-Production[[#This Row],[Actual Run Time (Hrs)]]-Production[[#This Row],[Planned downtime (Hrs)]])</f>
        <v>2</v>
      </c>
      <c r="K65" s="9" t="s">
        <v>36</v>
      </c>
      <c r="L65" s="41">
        <f>IFERROR(Production[[#This Row],[UPH]]*(Production[[#This Row],[Available time (Hrs)]]-Production[[#This Row],[Planned downtime (Hrs)]]),"")</f>
        <v>681.08108108108104</v>
      </c>
      <c r="M65" s="42">
        <v>404</v>
      </c>
      <c r="N65" s="42">
        <v>57</v>
      </c>
      <c r="O65" s="43">
        <v>2</v>
      </c>
      <c r="P65" s="44">
        <f>IFERROR(Production[[#This Row],[Defect Quantity]]/(Production[[#This Row],[Defect Quantity]]+Production[[#This Row],[Ok Quantity]]),"")</f>
        <v>0.12364425162689804</v>
      </c>
      <c r="Q65" s="44">
        <f>IFERROR(IF(Production[[#This Row],[Ok Quantity]]="","",Production[[#This Row],[Ok Quantity]]/Production[[#This Row],[Target Quantity]]),"")</f>
        <v>0.59317460317460324</v>
      </c>
      <c r="R65" s="41">
        <f>IFERROR(VLOOKUP(Production[[#This Row],[Product]],Database!B:E,4,0)*Production[[#This Row],[Defect Quantity]],"")</f>
        <v>3135</v>
      </c>
      <c r="S65" s="41">
        <f>IFERROR(VLOOKUP(Production[[#This Row],[Line]],Database!L:M,2,0)*(Production[[#This Row],[Lose Time (Hrs)]]),"")</f>
        <v>2400</v>
      </c>
      <c r="T65" s="41">
        <f>IFERROR(Production[[#This Row],[Lose Time Cost]]+Production[[#This Row],[Defect Cost]],"")</f>
        <v>5535</v>
      </c>
      <c r="U65" s="45">
        <f>IFERROR(3600/VLOOKUP(Production[[#This Row],[Product]],Database!B:E,2,0),"")</f>
        <v>97.297297297297291</v>
      </c>
      <c r="V65" s="45">
        <f>IFERROR(Production[[#This Row],[UPH]]/VLOOKUP(Production[[#This Row],[Product]],Database!B:E,3,0),"")</f>
        <v>32.432432432432428</v>
      </c>
      <c r="W65" s="46">
        <f>IFERROR(Production[[#This Row],[Actual Run Time (Hrs)]]/Production[[#This Row],[Breakdowns]],"")</f>
        <v>2.5</v>
      </c>
      <c r="X65" s="46">
        <f>IFERROR(Production[[#This Row],[Lose Time (Hrs)]]/Production[[#This Row],[Breakdowns]],"")</f>
        <v>1</v>
      </c>
      <c r="Y65" s="44">
        <f>IFERROR(IF(Production[[#This Row],[Actual Run Time (Hrs)]]="","",Production[[#This Row],[Actual Run Time (Hrs)]]/(Production[[#This Row],[Available time (Hrs)]]-Production[[#This Row],[Planned downtime (Hrs)]])),"")</f>
        <v>0.7142857142857143</v>
      </c>
      <c r="Z65" s="47">
        <f>IFERROR((IF(Production[[#This Row],[Ok Quantity]]="","",Production[[#This Row],[Ok Quantity]]+Production[[#This Row],[Defect Quantity]])/Production[[#This Row],[Target Quantity]]),"")</f>
        <v>0.67686507936507945</v>
      </c>
      <c r="AA65" s="47">
        <f>IFERROR(Production[[#This Row],[Ok Quantity]]/(Production[[#This Row],[Ok Quantity]]+Production[[#This Row],[Defect Quantity]]),"")</f>
        <v>0.87635574837310193</v>
      </c>
      <c r="AB65" s="44">
        <f>IFERROR(Production[[#This Row],[Quality %]]*Production[[#This Row],[Performance %]]*Production[[#This Row],[Availability %]],"")</f>
        <v>0.42369614512471659</v>
      </c>
    </row>
    <row r="66" spans="1:28" x14ac:dyDescent="0.25">
      <c r="A66" s="91" t="str">
        <f t="shared" si="1"/>
        <v/>
      </c>
      <c r="B66" s="26">
        <v>42209</v>
      </c>
      <c r="C66" s="28">
        <v>3</v>
      </c>
      <c r="D66" s="9" t="s">
        <v>28</v>
      </c>
      <c r="E66" s="9" t="s">
        <v>21</v>
      </c>
      <c r="F66" s="31">
        <v>5</v>
      </c>
      <c r="G66" s="33">
        <f>IFERROR(VLOOKUP(Production[[#This Row],[Shift]],Database!G:H,2,0),"")</f>
        <v>8</v>
      </c>
      <c r="H66" s="31">
        <v>1</v>
      </c>
      <c r="I66" s="33">
        <f>IFERROR(Production[[#This Row],[Available time (Hrs)]]-Production[[#This Row],[Planned downtime (Hrs)]],"")</f>
        <v>7</v>
      </c>
      <c r="J66" s="33">
        <f>IF(Production[[#This Row],[Available time (Hrs)]]="","",Production[[#This Row],[Available time (Hrs)]]-Production[[#This Row],[Actual Run Time (Hrs)]]-Production[[#This Row],[Planned downtime (Hrs)]])</f>
        <v>2</v>
      </c>
      <c r="K66" s="9" t="s">
        <v>67</v>
      </c>
      <c r="L66" s="41">
        <f>IFERROR(Production[[#This Row],[UPH]]*(Production[[#This Row],[Available time (Hrs)]]-Production[[#This Row],[Planned downtime (Hrs)]]),"")</f>
        <v>630</v>
      </c>
      <c r="M66" s="42">
        <v>420</v>
      </c>
      <c r="N66" s="42">
        <v>51</v>
      </c>
      <c r="O66" s="43">
        <v>2</v>
      </c>
      <c r="P66" s="44">
        <f>IFERROR(Production[[#This Row],[Defect Quantity]]/(Production[[#This Row],[Defect Quantity]]+Production[[#This Row],[Ok Quantity]]),"")</f>
        <v>0.10828025477707007</v>
      </c>
      <c r="Q66" s="44">
        <f>IFERROR(IF(Production[[#This Row],[Ok Quantity]]="","",Production[[#This Row],[Ok Quantity]]/Production[[#This Row],[Target Quantity]]),"")</f>
        <v>0.66666666666666663</v>
      </c>
      <c r="R66" s="41">
        <f>IFERROR(VLOOKUP(Production[[#This Row],[Product]],Database!B:E,4,0)*Production[[#This Row],[Defect Quantity]],"")</f>
        <v>2040</v>
      </c>
      <c r="S66" s="41">
        <f>IFERROR(VLOOKUP(Production[[#This Row],[Line]],Database!L:M,2,0)*(Production[[#This Row],[Lose Time (Hrs)]]),"")</f>
        <v>2400</v>
      </c>
      <c r="T66" s="41">
        <f>IFERROR(Production[[#This Row],[Lose Time Cost]]+Production[[#This Row],[Defect Cost]],"")</f>
        <v>4440</v>
      </c>
      <c r="U66" s="45">
        <f>IFERROR(3600/VLOOKUP(Production[[#This Row],[Product]],Database!B:E,2,0),"")</f>
        <v>90</v>
      </c>
      <c r="V66" s="45">
        <f>IFERROR(Production[[#This Row],[UPH]]/VLOOKUP(Production[[#This Row],[Product]],Database!B:E,3,0),"")</f>
        <v>30</v>
      </c>
      <c r="W66" s="46">
        <f>IFERROR(Production[[#This Row],[Actual Run Time (Hrs)]]/Production[[#This Row],[Breakdowns]],"")</f>
        <v>2.5</v>
      </c>
      <c r="X66" s="46">
        <f>IFERROR(Production[[#This Row],[Lose Time (Hrs)]]/Production[[#This Row],[Breakdowns]],"")</f>
        <v>1</v>
      </c>
      <c r="Y66" s="44">
        <f>IFERROR(IF(Production[[#This Row],[Actual Run Time (Hrs)]]="","",Production[[#This Row],[Actual Run Time (Hrs)]]/(Production[[#This Row],[Available time (Hrs)]]-Production[[#This Row],[Planned downtime (Hrs)]])),"")</f>
        <v>0.7142857142857143</v>
      </c>
      <c r="Z66" s="47">
        <f>IFERROR((IF(Production[[#This Row],[Ok Quantity]]="","",Production[[#This Row],[Ok Quantity]]+Production[[#This Row],[Defect Quantity]])/Production[[#This Row],[Target Quantity]]),"")</f>
        <v>0.74761904761904763</v>
      </c>
      <c r="AA66" s="47">
        <f>IFERROR(Production[[#This Row],[Ok Quantity]]/(Production[[#This Row],[Ok Quantity]]+Production[[#This Row],[Defect Quantity]]),"")</f>
        <v>0.89171974522292996</v>
      </c>
      <c r="AB66" s="44">
        <f>IFERROR(Production[[#This Row],[Quality %]]*Production[[#This Row],[Performance %]]*Production[[#This Row],[Availability %]],"")</f>
        <v>0.47619047619047628</v>
      </c>
    </row>
    <row r="67" spans="1:28" x14ac:dyDescent="0.25">
      <c r="A67" s="91" t="str">
        <f t="shared" ref="A67:A97" si="2">IF(AND(B66&lt;&gt;"",B67=""),"New entry---&gt;","")</f>
        <v/>
      </c>
      <c r="B67" s="26">
        <v>43741</v>
      </c>
      <c r="C67" s="28">
        <v>2</v>
      </c>
      <c r="D67" s="9" t="s">
        <v>28</v>
      </c>
      <c r="E67" s="9" t="s">
        <v>25</v>
      </c>
      <c r="F67" s="31">
        <v>5</v>
      </c>
      <c r="G67" s="33">
        <f>IFERROR(VLOOKUP(Production[[#This Row],[Shift]],Database!G:H,2,0),"")</f>
        <v>8</v>
      </c>
      <c r="H67" s="31">
        <v>1</v>
      </c>
      <c r="I67" s="33">
        <f>IFERROR(Production[[#This Row],[Available time (Hrs)]]-Production[[#This Row],[Planned downtime (Hrs)]],"")</f>
        <v>7</v>
      </c>
      <c r="J67" s="33">
        <f>IF(Production[[#This Row],[Available time (Hrs)]]="","",Production[[#This Row],[Available time (Hrs)]]-Production[[#This Row],[Actual Run Time (Hrs)]]-Production[[#This Row],[Planned downtime (Hrs)]])</f>
        <v>2</v>
      </c>
      <c r="K67" s="9" t="s">
        <v>67</v>
      </c>
      <c r="L67" s="41">
        <f>IFERROR(Production[[#This Row],[UPH]]*(Production[[#This Row],[Available time (Hrs)]]-Production[[#This Row],[Planned downtime (Hrs)]]),"")</f>
        <v>600</v>
      </c>
      <c r="M67" s="42">
        <v>426</v>
      </c>
      <c r="N67" s="42">
        <v>71</v>
      </c>
      <c r="O67" s="43">
        <v>3</v>
      </c>
      <c r="P67" s="44">
        <f>IFERROR(Production[[#This Row],[Defect Quantity]]/(Production[[#This Row],[Defect Quantity]]+Production[[#This Row],[Ok Quantity]]),"")</f>
        <v>0.14285714285714285</v>
      </c>
      <c r="Q67" s="44">
        <f>IFERROR(IF(Production[[#This Row],[Ok Quantity]]="","",Production[[#This Row],[Ok Quantity]]/Production[[#This Row],[Target Quantity]]),"")</f>
        <v>0.71</v>
      </c>
      <c r="R67" s="41">
        <f>IFERROR(VLOOKUP(Production[[#This Row],[Product]],Database!B:E,4,0)*Production[[#This Row],[Defect Quantity]],"")</f>
        <v>3621</v>
      </c>
      <c r="S67" s="41">
        <f>IFERROR(VLOOKUP(Production[[#This Row],[Line]],Database!L:M,2,0)*(Production[[#This Row],[Lose Time (Hrs)]]),"")</f>
        <v>2400</v>
      </c>
      <c r="T67" s="41">
        <f>IFERROR(Production[[#This Row],[Lose Time Cost]]+Production[[#This Row],[Defect Cost]],"")</f>
        <v>6021</v>
      </c>
      <c r="U67" s="45">
        <f>IFERROR(3600/VLOOKUP(Production[[#This Row],[Product]],Database!B:E,2,0),"")</f>
        <v>85.714285714285708</v>
      </c>
      <c r="V67" s="45">
        <f>IFERROR(Production[[#This Row],[UPH]]/VLOOKUP(Production[[#This Row],[Product]],Database!B:E,3,0),"")</f>
        <v>28.571428571428569</v>
      </c>
      <c r="W67" s="46">
        <f>IFERROR(Production[[#This Row],[Actual Run Time (Hrs)]]/Production[[#This Row],[Breakdowns]],"")</f>
        <v>1.6666666666666667</v>
      </c>
      <c r="X67" s="46">
        <f>IFERROR(Production[[#This Row],[Lose Time (Hrs)]]/Production[[#This Row],[Breakdowns]],"")</f>
        <v>0.66666666666666663</v>
      </c>
      <c r="Y67" s="44">
        <f>IFERROR(IF(Production[[#This Row],[Actual Run Time (Hrs)]]="","",Production[[#This Row],[Actual Run Time (Hrs)]]/(Production[[#This Row],[Available time (Hrs)]]-Production[[#This Row],[Planned downtime (Hrs)]])),"")</f>
        <v>0.7142857142857143</v>
      </c>
      <c r="Z67" s="47">
        <f>IFERROR((IF(Production[[#This Row],[Ok Quantity]]="","",Production[[#This Row],[Ok Quantity]]+Production[[#This Row],[Defect Quantity]])/Production[[#This Row],[Target Quantity]]),"")</f>
        <v>0.82833333333333337</v>
      </c>
      <c r="AA67" s="47">
        <f>IFERROR(Production[[#This Row],[Ok Quantity]]/(Production[[#This Row],[Ok Quantity]]+Production[[#This Row],[Defect Quantity]]),"")</f>
        <v>0.8571428571428571</v>
      </c>
      <c r="AB67" s="44">
        <f>IFERROR(Production[[#This Row],[Quality %]]*Production[[#This Row],[Performance %]]*Production[[#This Row],[Availability %]],"")</f>
        <v>0.50714285714285712</v>
      </c>
    </row>
    <row r="68" spans="1:28" x14ac:dyDescent="0.25">
      <c r="A68" s="91" t="str">
        <f t="shared" si="2"/>
        <v/>
      </c>
      <c r="B68" s="26">
        <v>42504</v>
      </c>
      <c r="C68" s="28">
        <v>3</v>
      </c>
      <c r="D68" s="9" t="s">
        <v>29</v>
      </c>
      <c r="E68" s="9" t="s">
        <v>25</v>
      </c>
      <c r="F68" s="31">
        <v>6</v>
      </c>
      <c r="G68" s="33">
        <f>IFERROR(VLOOKUP(Production[[#This Row],[Shift]],Database!G:H,2,0),"")</f>
        <v>8</v>
      </c>
      <c r="H68" s="31">
        <v>1</v>
      </c>
      <c r="I68" s="33">
        <f>IFERROR(Production[[#This Row],[Available time (Hrs)]]-Production[[#This Row],[Planned downtime (Hrs)]],"")</f>
        <v>7</v>
      </c>
      <c r="J68" s="33">
        <f>IF(Production[[#This Row],[Available time (Hrs)]]="","",Production[[#This Row],[Available time (Hrs)]]-Production[[#This Row],[Actual Run Time (Hrs)]]-Production[[#This Row],[Planned downtime (Hrs)]])</f>
        <v>1</v>
      </c>
      <c r="K68" s="9" t="s">
        <v>34</v>
      </c>
      <c r="L68" s="41">
        <f>IFERROR(Production[[#This Row],[UPH]]*(Production[[#This Row],[Available time (Hrs)]]-Production[[#This Row],[Planned downtime (Hrs)]]),"")</f>
        <v>600</v>
      </c>
      <c r="M68" s="42">
        <v>421</v>
      </c>
      <c r="N68" s="42">
        <v>59</v>
      </c>
      <c r="O68" s="43">
        <v>0</v>
      </c>
      <c r="P68" s="44">
        <f>IFERROR(Production[[#This Row],[Defect Quantity]]/(Production[[#This Row],[Defect Quantity]]+Production[[#This Row],[Ok Quantity]]),"")</f>
        <v>0.12291666666666666</v>
      </c>
      <c r="Q68" s="44">
        <f>IFERROR(IF(Production[[#This Row],[Ok Quantity]]="","",Production[[#This Row],[Ok Quantity]]/Production[[#This Row],[Target Quantity]]),"")</f>
        <v>0.70166666666666666</v>
      </c>
      <c r="R68" s="41">
        <f>IFERROR(VLOOKUP(Production[[#This Row],[Product]],Database!B:E,4,0)*Production[[#This Row],[Defect Quantity]],"")</f>
        <v>3009</v>
      </c>
      <c r="S68" s="41">
        <f>IFERROR(VLOOKUP(Production[[#This Row],[Line]],Database!L:M,2,0)*(Production[[#This Row],[Lose Time (Hrs)]]),"")</f>
        <v>900</v>
      </c>
      <c r="T68" s="41">
        <f>IFERROR(Production[[#This Row],[Lose Time Cost]]+Production[[#This Row],[Defect Cost]],"")</f>
        <v>3909</v>
      </c>
      <c r="U68" s="45">
        <f>IFERROR(3600/VLOOKUP(Production[[#This Row],[Product]],Database!B:E,2,0),"")</f>
        <v>85.714285714285708</v>
      </c>
      <c r="V68" s="45">
        <f>IFERROR(Production[[#This Row],[UPH]]/VLOOKUP(Production[[#This Row],[Product]],Database!B:E,3,0),"")</f>
        <v>28.571428571428569</v>
      </c>
      <c r="W68" s="46" t="str">
        <f>IFERROR(Production[[#This Row],[Actual Run Time (Hrs)]]/Production[[#This Row],[Breakdowns]],"")</f>
        <v/>
      </c>
      <c r="X68" s="46" t="str">
        <f>IFERROR(Production[[#This Row],[Lose Time (Hrs)]]/Production[[#This Row],[Breakdowns]],"")</f>
        <v/>
      </c>
      <c r="Y68" s="44">
        <f>IFERROR(IF(Production[[#This Row],[Actual Run Time (Hrs)]]="","",Production[[#This Row],[Actual Run Time (Hrs)]]/(Production[[#This Row],[Available time (Hrs)]]-Production[[#This Row],[Planned downtime (Hrs)]])),"")</f>
        <v>0.8571428571428571</v>
      </c>
      <c r="Z68" s="47">
        <f>IFERROR((IF(Production[[#This Row],[Ok Quantity]]="","",Production[[#This Row],[Ok Quantity]]+Production[[#This Row],[Defect Quantity]])/Production[[#This Row],[Target Quantity]]),"")</f>
        <v>0.8</v>
      </c>
      <c r="AA68" s="47">
        <f>IFERROR(Production[[#This Row],[Ok Quantity]]/(Production[[#This Row],[Ok Quantity]]+Production[[#This Row],[Defect Quantity]]),"")</f>
        <v>0.87708333333333333</v>
      </c>
      <c r="AB68" s="44">
        <f>IFERROR(Production[[#This Row],[Quality %]]*Production[[#This Row],[Performance %]]*Production[[#This Row],[Availability %]],"")</f>
        <v>0.60142857142857142</v>
      </c>
    </row>
    <row r="69" spans="1:28" x14ac:dyDescent="0.25">
      <c r="A69" s="91" t="str">
        <f t="shared" si="2"/>
        <v/>
      </c>
      <c r="B69" s="26">
        <v>42597</v>
      </c>
      <c r="C69" s="28">
        <v>1</v>
      </c>
      <c r="D69" s="9" t="s">
        <v>29</v>
      </c>
      <c r="E69" s="9" t="s">
        <v>24</v>
      </c>
      <c r="F69" s="31">
        <v>5</v>
      </c>
      <c r="G69" s="33">
        <f>IFERROR(VLOOKUP(Production[[#This Row],[Shift]],Database!G:H,2,0),"")</f>
        <v>8</v>
      </c>
      <c r="H69" s="31">
        <v>1</v>
      </c>
      <c r="I69" s="33">
        <f>IFERROR(Production[[#This Row],[Available time (Hrs)]]-Production[[#This Row],[Planned downtime (Hrs)]],"")</f>
        <v>7</v>
      </c>
      <c r="J69" s="33">
        <f>IF(Production[[#This Row],[Available time (Hrs)]]="","",Production[[#This Row],[Available time (Hrs)]]-Production[[#This Row],[Actual Run Time (Hrs)]]-Production[[#This Row],[Planned downtime (Hrs)]])</f>
        <v>2</v>
      </c>
      <c r="K69" s="9" t="s">
        <v>37</v>
      </c>
      <c r="L69" s="41">
        <f>IFERROR(Production[[#This Row],[UPH]]*(Production[[#This Row],[Available time (Hrs)]]-Production[[#This Row],[Planned downtime (Hrs)]]),"")</f>
        <v>663.1578947368422</v>
      </c>
      <c r="M69" s="42">
        <v>426</v>
      </c>
      <c r="N69" s="42">
        <v>35</v>
      </c>
      <c r="O69" s="43">
        <v>1</v>
      </c>
      <c r="P69" s="44">
        <f>IFERROR(Production[[#This Row],[Defect Quantity]]/(Production[[#This Row],[Defect Quantity]]+Production[[#This Row],[Ok Quantity]]),"")</f>
        <v>7.5921908893709325E-2</v>
      </c>
      <c r="Q69" s="44">
        <f>IFERROR(IF(Production[[#This Row],[Ok Quantity]]="","",Production[[#This Row],[Ok Quantity]]/Production[[#This Row],[Target Quantity]]),"")</f>
        <v>0.64238095238095227</v>
      </c>
      <c r="R69" s="41">
        <f>IFERROR(VLOOKUP(Production[[#This Row],[Product]],Database!B:E,4,0)*Production[[#This Row],[Defect Quantity]],"")</f>
        <v>1470</v>
      </c>
      <c r="S69" s="41">
        <f>IFERROR(VLOOKUP(Production[[#This Row],[Line]],Database!L:M,2,0)*(Production[[#This Row],[Lose Time (Hrs)]]),"")</f>
        <v>1800</v>
      </c>
      <c r="T69" s="41">
        <f>IFERROR(Production[[#This Row],[Lose Time Cost]]+Production[[#This Row],[Defect Cost]],"")</f>
        <v>3270</v>
      </c>
      <c r="U69" s="45">
        <f>IFERROR(3600/VLOOKUP(Production[[#This Row],[Product]],Database!B:E,2,0),"")</f>
        <v>94.736842105263165</v>
      </c>
      <c r="V69" s="45">
        <f>IFERROR(Production[[#This Row],[UPH]]/VLOOKUP(Production[[#This Row],[Product]],Database!B:E,3,0),"")</f>
        <v>47.368421052631582</v>
      </c>
      <c r="W69" s="46">
        <f>IFERROR(Production[[#This Row],[Actual Run Time (Hrs)]]/Production[[#This Row],[Breakdowns]],"")</f>
        <v>5</v>
      </c>
      <c r="X69" s="46">
        <f>IFERROR(Production[[#This Row],[Lose Time (Hrs)]]/Production[[#This Row],[Breakdowns]],"")</f>
        <v>2</v>
      </c>
      <c r="Y69" s="44">
        <f>IFERROR(IF(Production[[#This Row],[Actual Run Time (Hrs)]]="","",Production[[#This Row],[Actual Run Time (Hrs)]]/(Production[[#This Row],[Available time (Hrs)]]-Production[[#This Row],[Planned downtime (Hrs)]])),"")</f>
        <v>0.7142857142857143</v>
      </c>
      <c r="Z69" s="47">
        <f>IFERROR((IF(Production[[#This Row],[Ok Quantity]]="","",Production[[#This Row],[Ok Quantity]]+Production[[#This Row],[Defect Quantity]])/Production[[#This Row],[Target Quantity]]),"")</f>
        <v>0.69515873015873009</v>
      </c>
      <c r="AA69" s="47">
        <f>IFERROR(Production[[#This Row],[Ok Quantity]]/(Production[[#This Row],[Ok Quantity]]+Production[[#This Row],[Defect Quantity]]),"")</f>
        <v>0.92407809110629069</v>
      </c>
      <c r="AB69" s="44">
        <f>IFERROR(Production[[#This Row],[Quality %]]*Production[[#This Row],[Performance %]]*Production[[#This Row],[Availability %]],"")</f>
        <v>0.45884353741496592</v>
      </c>
    </row>
    <row r="70" spans="1:28" x14ac:dyDescent="0.25">
      <c r="A70" s="91" t="str">
        <f t="shared" si="2"/>
        <v/>
      </c>
      <c r="B70" s="26">
        <v>43312</v>
      </c>
      <c r="C70" s="28">
        <v>2</v>
      </c>
      <c r="D70" s="9" t="s">
        <v>27</v>
      </c>
      <c r="E70" s="9" t="s">
        <v>19</v>
      </c>
      <c r="F70" s="31">
        <v>7</v>
      </c>
      <c r="G70" s="33">
        <f>IFERROR(VLOOKUP(Production[[#This Row],[Shift]],Database!G:H,2,0),"")</f>
        <v>8</v>
      </c>
      <c r="H70" s="31">
        <v>1</v>
      </c>
      <c r="I70" s="33">
        <f>IFERROR(Production[[#This Row],[Available time (Hrs)]]-Production[[#This Row],[Planned downtime (Hrs)]],"")</f>
        <v>7</v>
      </c>
      <c r="J70" s="33">
        <f>IF(Production[[#This Row],[Available time (Hrs)]]="","",Production[[#This Row],[Available time (Hrs)]]-Production[[#This Row],[Actual Run Time (Hrs)]]-Production[[#This Row],[Planned downtime (Hrs)]])</f>
        <v>0</v>
      </c>
      <c r="L70" s="41">
        <f>IFERROR(Production[[#This Row],[UPH]]*(Production[[#This Row],[Available time (Hrs)]]-Production[[#This Row],[Planned downtime (Hrs)]]),"")</f>
        <v>630</v>
      </c>
      <c r="M70" s="42">
        <v>500</v>
      </c>
      <c r="N70" s="42">
        <v>130</v>
      </c>
      <c r="O70" s="43">
        <v>0</v>
      </c>
      <c r="P70" s="44">
        <f>IFERROR(Production[[#This Row],[Defect Quantity]]/(Production[[#This Row],[Defect Quantity]]+Production[[#This Row],[Ok Quantity]]),"")</f>
        <v>0.20634920634920634</v>
      </c>
      <c r="Q70" s="44">
        <f>IFERROR(IF(Production[[#This Row],[Ok Quantity]]="","",Production[[#This Row],[Ok Quantity]]/Production[[#This Row],[Target Quantity]]),"")</f>
        <v>0.79365079365079361</v>
      </c>
      <c r="R70" s="41">
        <f>IFERROR(VLOOKUP(Production[[#This Row],[Product]],Database!B:E,4,0)*Production[[#This Row],[Defect Quantity]],"")</f>
        <v>7800</v>
      </c>
      <c r="S70" s="41">
        <f>IFERROR(VLOOKUP(Production[[#This Row],[Line]],Database!L:M,2,0)*(Production[[#This Row],[Lose Time (Hrs)]]),"")</f>
        <v>0</v>
      </c>
      <c r="T70" s="41">
        <f>IFERROR(Production[[#This Row],[Lose Time Cost]]+Production[[#This Row],[Defect Cost]],"")</f>
        <v>7800</v>
      </c>
      <c r="U70" s="45">
        <f>IFERROR(3600/VLOOKUP(Production[[#This Row],[Product]],Database!B:E,2,0),"")</f>
        <v>90</v>
      </c>
      <c r="V70" s="45">
        <f>IFERROR(Production[[#This Row],[UPH]]/VLOOKUP(Production[[#This Row],[Product]],Database!B:E,3,0),"")</f>
        <v>22.5</v>
      </c>
      <c r="W70" s="46" t="str">
        <f>IFERROR(Production[[#This Row],[Actual Run Time (Hrs)]]/Production[[#This Row],[Breakdowns]],"")</f>
        <v/>
      </c>
      <c r="X70" s="46" t="str">
        <f>IFERROR(Production[[#This Row],[Lose Time (Hrs)]]/Production[[#This Row],[Breakdowns]],"")</f>
        <v/>
      </c>
      <c r="Y70" s="44">
        <f>IFERROR(IF(Production[[#This Row],[Actual Run Time (Hrs)]]="","",Production[[#This Row],[Actual Run Time (Hrs)]]/(Production[[#This Row],[Available time (Hrs)]]-Production[[#This Row],[Planned downtime (Hrs)]])),"")</f>
        <v>1</v>
      </c>
      <c r="Z70" s="47">
        <f>IFERROR((IF(Production[[#This Row],[Ok Quantity]]="","",Production[[#This Row],[Ok Quantity]]+Production[[#This Row],[Defect Quantity]])/Production[[#This Row],[Target Quantity]]),"")</f>
        <v>1</v>
      </c>
      <c r="AA70" s="47">
        <f>IFERROR(Production[[#This Row],[Ok Quantity]]/(Production[[#This Row],[Ok Quantity]]+Production[[#This Row],[Defect Quantity]]),"")</f>
        <v>0.79365079365079361</v>
      </c>
      <c r="AB70" s="44">
        <f>IFERROR(Production[[#This Row],[Quality %]]*Production[[#This Row],[Performance %]]*Production[[#This Row],[Availability %]],"")</f>
        <v>0.79365079365079361</v>
      </c>
    </row>
    <row r="71" spans="1:28" x14ac:dyDescent="0.25">
      <c r="A71" s="91" t="str">
        <f t="shared" si="2"/>
        <v/>
      </c>
      <c r="B71" s="26">
        <v>42377</v>
      </c>
      <c r="C71" s="28">
        <v>1</v>
      </c>
      <c r="D71" s="9" t="s">
        <v>29</v>
      </c>
      <c r="E71" s="9" t="s">
        <v>22</v>
      </c>
      <c r="F71" s="31">
        <v>6</v>
      </c>
      <c r="G71" s="33">
        <f>IFERROR(VLOOKUP(Production[[#This Row],[Shift]],Database!G:H,2,0),"")</f>
        <v>8</v>
      </c>
      <c r="H71" s="31">
        <v>1</v>
      </c>
      <c r="I71" s="33">
        <f>IFERROR(Production[[#This Row],[Available time (Hrs)]]-Production[[#This Row],[Planned downtime (Hrs)]],"")</f>
        <v>7</v>
      </c>
      <c r="J71" s="33">
        <f>IF(Production[[#This Row],[Available time (Hrs)]]="","",Production[[#This Row],[Available time (Hrs)]]-Production[[#This Row],[Actual Run Time (Hrs)]]-Production[[#This Row],[Planned downtime (Hrs)]])</f>
        <v>1</v>
      </c>
      <c r="K71" s="9" t="s">
        <v>67</v>
      </c>
      <c r="L71" s="41">
        <f>IFERROR(Production[[#This Row],[UPH]]*(Production[[#This Row],[Available time (Hrs)]]-Production[[#This Row],[Planned downtime (Hrs)]]),"")</f>
        <v>681.08108108108104</v>
      </c>
      <c r="M71" s="42">
        <v>442</v>
      </c>
      <c r="N71" s="42">
        <v>75</v>
      </c>
      <c r="O71" s="43">
        <v>1</v>
      </c>
      <c r="P71" s="44">
        <f>IFERROR(Production[[#This Row],[Defect Quantity]]/(Production[[#This Row],[Defect Quantity]]+Production[[#This Row],[Ok Quantity]]),"")</f>
        <v>0.14506769825918761</v>
      </c>
      <c r="Q71" s="44">
        <f>IFERROR(IF(Production[[#This Row],[Ok Quantity]]="","",Production[[#This Row],[Ok Quantity]]/Production[[#This Row],[Target Quantity]]),"")</f>
        <v>0.64896825396825397</v>
      </c>
      <c r="R71" s="41">
        <f>IFERROR(VLOOKUP(Production[[#This Row],[Product]],Database!B:E,4,0)*Production[[#This Row],[Defect Quantity]],"")</f>
        <v>4125</v>
      </c>
      <c r="S71" s="41">
        <f>IFERROR(VLOOKUP(Production[[#This Row],[Line]],Database!L:M,2,0)*(Production[[#This Row],[Lose Time (Hrs)]]),"")</f>
        <v>900</v>
      </c>
      <c r="T71" s="41">
        <f>IFERROR(Production[[#This Row],[Lose Time Cost]]+Production[[#This Row],[Defect Cost]],"")</f>
        <v>5025</v>
      </c>
      <c r="U71" s="45">
        <f>IFERROR(3600/VLOOKUP(Production[[#This Row],[Product]],Database!B:E,2,0),"")</f>
        <v>97.297297297297291</v>
      </c>
      <c r="V71" s="45">
        <f>IFERROR(Production[[#This Row],[UPH]]/VLOOKUP(Production[[#This Row],[Product]],Database!B:E,3,0),"")</f>
        <v>32.432432432432428</v>
      </c>
      <c r="W71" s="46">
        <f>IFERROR(Production[[#This Row],[Actual Run Time (Hrs)]]/Production[[#This Row],[Breakdowns]],"")</f>
        <v>6</v>
      </c>
      <c r="X71" s="46">
        <f>IFERROR(Production[[#This Row],[Lose Time (Hrs)]]/Production[[#This Row],[Breakdowns]],"")</f>
        <v>1</v>
      </c>
      <c r="Y71" s="44">
        <f>IFERROR(IF(Production[[#This Row],[Actual Run Time (Hrs)]]="","",Production[[#This Row],[Actual Run Time (Hrs)]]/(Production[[#This Row],[Available time (Hrs)]]-Production[[#This Row],[Planned downtime (Hrs)]])),"")</f>
        <v>0.8571428571428571</v>
      </c>
      <c r="Z71" s="47">
        <f>IFERROR((IF(Production[[#This Row],[Ok Quantity]]="","",Production[[#This Row],[Ok Quantity]]+Production[[#This Row],[Defect Quantity]])/Production[[#This Row],[Target Quantity]]),"")</f>
        <v>0.75908730158730164</v>
      </c>
      <c r="AA71" s="47">
        <f>IFERROR(Production[[#This Row],[Ok Quantity]]/(Production[[#This Row],[Ok Quantity]]+Production[[#This Row],[Defect Quantity]]),"")</f>
        <v>0.85493230174081236</v>
      </c>
      <c r="AB71" s="44">
        <f>IFERROR(Production[[#This Row],[Quality %]]*Production[[#This Row],[Performance %]]*Production[[#This Row],[Availability %]],"")</f>
        <v>0.55625850340136052</v>
      </c>
    </row>
    <row r="72" spans="1:28" x14ac:dyDescent="0.25">
      <c r="A72" s="91" t="str">
        <f t="shared" si="2"/>
        <v/>
      </c>
      <c r="B72" s="26">
        <v>42503</v>
      </c>
      <c r="C72" s="28">
        <v>1</v>
      </c>
      <c r="D72" s="9" t="s">
        <v>50</v>
      </c>
      <c r="E72" s="9" t="s">
        <v>22</v>
      </c>
      <c r="F72" s="31">
        <v>5</v>
      </c>
      <c r="G72" s="33">
        <f>IFERROR(VLOOKUP(Production[[#This Row],[Shift]],Database!G:H,2,0),"")</f>
        <v>8</v>
      </c>
      <c r="H72" s="31">
        <v>1</v>
      </c>
      <c r="I72" s="33">
        <f>IFERROR(Production[[#This Row],[Available time (Hrs)]]-Production[[#This Row],[Planned downtime (Hrs)]],"")</f>
        <v>7</v>
      </c>
      <c r="J72" s="33">
        <f>IF(Production[[#This Row],[Available time (Hrs)]]="","",Production[[#This Row],[Available time (Hrs)]]-Production[[#This Row],[Actual Run Time (Hrs)]]-Production[[#This Row],[Planned downtime (Hrs)]])</f>
        <v>2</v>
      </c>
      <c r="K72" s="9" t="s">
        <v>36</v>
      </c>
      <c r="L72" s="41">
        <f>IFERROR(Production[[#This Row],[UPH]]*(Production[[#This Row],[Available time (Hrs)]]-Production[[#This Row],[Planned downtime (Hrs)]]),"")</f>
        <v>681.08108108108104</v>
      </c>
      <c r="M72" s="42">
        <v>474</v>
      </c>
      <c r="N72" s="42">
        <v>80</v>
      </c>
      <c r="O72" s="43">
        <v>1</v>
      </c>
      <c r="P72" s="44">
        <f>IFERROR(Production[[#This Row],[Defect Quantity]]/(Production[[#This Row],[Defect Quantity]]+Production[[#This Row],[Ok Quantity]]),"")</f>
        <v>0.1444043321299639</v>
      </c>
      <c r="Q72" s="44">
        <f>IFERROR(IF(Production[[#This Row],[Ok Quantity]]="","",Production[[#This Row],[Ok Quantity]]/Production[[#This Row],[Target Quantity]]),"")</f>
        <v>0.69595238095238099</v>
      </c>
      <c r="R72" s="41">
        <f>IFERROR(VLOOKUP(Production[[#This Row],[Product]],Database!B:E,4,0)*Production[[#This Row],[Defect Quantity]],"")</f>
        <v>4400</v>
      </c>
      <c r="S72" s="41">
        <f>IFERROR(VLOOKUP(Production[[#This Row],[Line]],Database!L:M,2,0)*(Production[[#This Row],[Lose Time (Hrs)]]),"")</f>
        <v>3000</v>
      </c>
      <c r="T72" s="41">
        <f>IFERROR(Production[[#This Row],[Lose Time Cost]]+Production[[#This Row],[Defect Cost]],"")</f>
        <v>7400</v>
      </c>
      <c r="U72" s="45">
        <f>IFERROR(3600/VLOOKUP(Production[[#This Row],[Product]],Database!B:E,2,0),"")</f>
        <v>97.297297297297291</v>
      </c>
      <c r="V72" s="45">
        <f>IFERROR(Production[[#This Row],[UPH]]/VLOOKUP(Production[[#This Row],[Product]],Database!B:E,3,0),"")</f>
        <v>32.432432432432428</v>
      </c>
      <c r="W72" s="46">
        <f>IFERROR(Production[[#This Row],[Actual Run Time (Hrs)]]/Production[[#This Row],[Breakdowns]],"")</f>
        <v>5</v>
      </c>
      <c r="X72" s="46">
        <f>IFERROR(Production[[#This Row],[Lose Time (Hrs)]]/Production[[#This Row],[Breakdowns]],"")</f>
        <v>2</v>
      </c>
      <c r="Y72" s="44">
        <f>IFERROR(IF(Production[[#This Row],[Actual Run Time (Hrs)]]="","",Production[[#This Row],[Actual Run Time (Hrs)]]/(Production[[#This Row],[Available time (Hrs)]]-Production[[#This Row],[Planned downtime (Hrs)]])),"")</f>
        <v>0.7142857142857143</v>
      </c>
      <c r="Z72" s="47">
        <f>IFERROR((IF(Production[[#This Row],[Ok Quantity]]="","",Production[[#This Row],[Ok Quantity]]+Production[[#This Row],[Defect Quantity]])/Production[[#This Row],[Target Quantity]]),"")</f>
        <v>0.81341269841269848</v>
      </c>
      <c r="AA72" s="47">
        <f>IFERROR(Production[[#This Row],[Ok Quantity]]/(Production[[#This Row],[Ok Quantity]]+Production[[#This Row],[Defect Quantity]]),"")</f>
        <v>0.85559566787003605</v>
      </c>
      <c r="AB72" s="44">
        <f>IFERROR(Production[[#This Row],[Quality %]]*Production[[#This Row],[Performance %]]*Production[[#This Row],[Availability %]],"")</f>
        <v>0.49710884353741502</v>
      </c>
    </row>
    <row r="73" spans="1:28" x14ac:dyDescent="0.25">
      <c r="A73" s="91" t="str">
        <f t="shared" si="2"/>
        <v/>
      </c>
      <c r="B73" s="26">
        <v>43134</v>
      </c>
      <c r="C73" s="28">
        <v>1</v>
      </c>
      <c r="D73" s="9" t="s">
        <v>50</v>
      </c>
      <c r="E73" s="9" t="s">
        <v>21</v>
      </c>
      <c r="F73" s="31">
        <v>4</v>
      </c>
      <c r="G73" s="33">
        <f>IFERROR(VLOOKUP(Production[[#This Row],[Shift]],Database!G:H,2,0),"")</f>
        <v>8</v>
      </c>
      <c r="H73" s="31">
        <v>1</v>
      </c>
      <c r="I73" s="33">
        <f>IFERROR(Production[[#This Row],[Available time (Hrs)]]-Production[[#This Row],[Planned downtime (Hrs)]],"")</f>
        <v>7</v>
      </c>
      <c r="J73" s="33">
        <f>IF(Production[[#This Row],[Available time (Hrs)]]="","",Production[[#This Row],[Available time (Hrs)]]-Production[[#This Row],[Actual Run Time (Hrs)]]-Production[[#This Row],[Planned downtime (Hrs)]])</f>
        <v>3</v>
      </c>
      <c r="K73" s="9" t="s">
        <v>32</v>
      </c>
      <c r="L73" s="41">
        <f>IFERROR(Production[[#This Row],[UPH]]*(Production[[#This Row],[Available time (Hrs)]]-Production[[#This Row],[Planned downtime (Hrs)]]),"")</f>
        <v>630</v>
      </c>
      <c r="M73" s="42">
        <v>429</v>
      </c>
      <c r="N73" s="42">
        <v>84</v>
      </c>
      <c r="O73" s="43">
        <v>2</v>
      </c>
      <c r="P73" s="44">
        <f>IFERROR(Production[[#This Row],[Defect Quantity]]/(Production[[#This Row],[Defect Quantity]]+Production[[#This Row],[Ok Quantity]]),"")</f>
        <v>0.16374269005847952</v>
      </c>
      <c r="Q73" s="44">
        <f>IFERROR(IF(Production[[#This Row],[Ok Quantity]]="","",Production[[#This Row],[Ok Quantity]]/Production[[#This Row],[Target Quantity]]),"")</f>
        <v>0.68095238095238098</v>
      </c>
      <c r="R73" s="41">
        <f>IFERROR(VLOOKUP(Production[[#This Row],[Product]],Database!B:E,4,0)*Production[[#This Row],[Defect Quantity]],"")</f>
        <v>3360</v>
      </c>
      <c r="S73" s="41">
        <f>IFERROR(VLOOKUP(Production[[#This Row],[Line]],Database!L:M,2,0)*(Production[[#This Row],[Lose Time (Hrs)]]),"")</f>
        <v>4500</v>
      </c>
      <c r="T73" s="41">
        <f>IFERROR(Production[[#This Row],[Lose Time Cost]]+Production[[#This Row],[Defect Cost]],"")</f>
        <v>7860</v>
      </c>
      <c r="U73" s="45">
        <f>IFERROR(3600/VLOOKUP(Production[[#This Row],[Product]],Database!B:E,2,0),"")</f>
        <v>90</v>
      </c>
      <c r="V73" s="45">
        <f>IFERROR(Production[[#This Row],[UPH]]/VLOOKUP(Production[[#This Row],[Product]],Database!B:E,3,0),"")</f>
        <v>30</v>
      </c>
      <c r="W73" s="46">
        <f>IFERROR(Production[[#This Row],[Actual Run Time (Hrs)]]/Production[[#This Row],[Breakdowns]],"")</f>
        <v>2</v>
      </c>
      <c r="X73" s="46">
        <f>IFERROR(Production[[#This Row],[Lose Time (Hrs)]]/Production[[#This Row],[Breakdowns]],"")</f>
        <v>1.5</v>
      </c>
      <c r="Y73" s="44">
        <f>IFERROR(IF(Production[[#This Row],[Actual Run Time (Hrs)]]="","",Production[[#This Row],[Actual Run Time (Hrs)]]/(Production[[#This Row],[Available time (Hrs)]]-Production[[#This Row],[Planned downtime (Hrs)]])),"")</f>
        <v>0.5714285714285714</v>
      </c>
      <c r="Z73" s="47">
        <f>IFERROR((IF(Production[[#This Row],[Ok Quantity]]="","",Production[[#This Row],[Ok Quantity]]+Production[[#This Row],[Defect Quantity]])/Production[[#This Row],[Target Quantity]]),"")</f>
        <v>0.81428571428571428</v>
      </c>
      <c r="AA73" s="47">
        <f>IFERROR(Production[[#This Row],[Ok Quantity]]/(Production[[#This Row],[Ok Quantity]]+Production[[#This Row],[Defect Quantity]]),"")</f>
        <v>0.83625730994152048</v>
      </c>
      <c r="AB73" s="44">
        <f>IFERROR(Production[[#This Row],[Quality %]]*Production[[#This Row],[Performance %]]*Production[[#This Row],[Availability %]],"")</f>
        <v>0.38911564625850337</v>
      </c>
    </row>
    <row r="74" spans="1:28" x14ac:dyDescent="0.25">
      <c r="A74" s="91" t="str">
        <f t="shared" si="2"/>
        <v/>
      </c>
      <c r="B74" s="26">
        <v>43744</v>
      </c>
      <c r="C74" s="28">
        <v>3</v>
      </c>
      <c r="D74" s="9" t="s">
        <v>50</v>
      </c>
      <c r="E74" s="9" t="s">
        <v>24</v>
      </c>
      <c r="F74" s="31">
        <v>5</v>
      </c>
      <c r="G74" s="33">
        <f>IFERROR(VLOOKUP(Production[[#This Row],[Shift]],Database!G:H,2,0),"")</f>
        <v>8</v>
      </c>
      <c r="H74" s="31">
        <v>1</v>
      </c>
      <c r="I74" s="33">
        <f>IFERROR(Production[[#This Row],[Available time (Hrs)]]-Production[[#This Row],[Planned downtime (Hrs)]],"")</f>
        <v>7</v>
      </c>
      <c r="J74" s="33">
        <f>IF(Production[[#This Row],[Available time (Hrs)]]="","",Production[[#This Row],[Available time (Hrs)]]-Production[[#This Row],[Actual Run Time (Hrs)]]-Production[[#This Row],[Planned downtime (Hrs)]])</f>
        <v>2</v>
      </c>
      <c r="K74" s="9" t="s">
        <v>37</v>
      </c>
      <c r="L74" s="41">
        <f>IFERROR(Production[[#This Row],[UPH]]*(Production[[#This Row],[Available time (Hrs)]]-Production[[#This Row],[Planned downtime (Hrs)]]),"")</f>
        <v>663.1578947368422</v>
      </c>
      <c r="M74" s="42">
        <v>471</v>
      </c>
      <c r="N74" s="42">
        <v>62</v>
      </c>
      <c r="O74" s="43">
        <v>1</v>
      </c>
      <c r="P74" s="44">
        <f>IFERROR(Production[[#This Row],[Defect Quantity]]/(Production[[#This Row],[Defect Quantity]]+Production[[#This Row],[Ok Quantity]]),"")</f>
        <v>0.11632270168855535</v>
      </c>
      <c r="Q74" s="44">
        <f>IFERROR(IF(Production[[#This Row],[Ok Quantity]]="","",Production[[#This Row],[Ok Quantity]]/Production[[#This Row],[Target Quantity]]),"")</f>
        <v>0.71023809523809511</v>
      </c>
      <c r="R74" s="41">
        <f>IFERROR(VLOOKUP(Production[[#This Row],[Product]],Database!B:E,4,0)*Production[[#This Row],[Defect Quantity]],"")</f>
        <v>2604</v>
      </c>
      <c r="S74" s="41">
        <f>IFERROR(VLOOKUP(Production[[#This Row],[Line]],Database!L:M,2,0)*(Production[[#This Row],[Lose Time (Hrs)]]),"")</f>
        <v>3000</v>
      </c>
      <c r="T74" s="41">
        <f>IFERROR(Production[[#This Row],[Lose Time Cost]]+Production[[#This Row],[Defect Cost]],"")</f>
        <v>5604</v>
      </c>
      <c r="U74" s="45">
        <f>IFERROR(3600/VLOOKUP(Production[[#This Row],[Product]],Database!B:E,2,0),"")</f>
        <v>94.736842105263165</v>
      </c>
      <c r="V74" s="45">
        <f>IFERROR(Production[[#This Row],[UPH]]/VLOOKUP(Production[[#This Row],[Product]],Database!B:E,3,0),"")</f>
        <v>47.368421052631582</v>
      </c>
      <c r="W74" s="46">
        <f>IFERROR(Production[[#This Row],[Actual Run Time (Hrs)]]/Production[[#This Row],[Breakdowns]],"")</f>
        <v>5</v>
      </c>
      <c r="X74" s="46">
        <f>IFERROR(Production[[#This Row],[Lose Time (Hrs)]]/Production[[#This Row],[Breakdowns]],"")</f>
        <v>2</v>
      </c>
      <c r="Y74" s="44">
        <f>IFERROR(IF(Production[[#This Row],[Actual Run Time (Hrs)]]="","",Production[[#This Row],[Actual Run Time (Hrs)]]/(Production[[#This Row],[Available time (Hrs)]]-Production[[#This Row],[Planned downtime (Hrs)]])),"")</f>
        <v>0.7142857142857143</v>
      </c>
      <c r="Z74" s="47">
        <f>IFERROR((IF(Production[[#This Row],[Ok Quantity]]="","",Production[[#This Row],[Ok Quantity]]+Production[[#This Row],[Defect Quantity]])/Production[[#This Row],[Target Quantity]]),"")</f>
        <v>0.80373015873015863</v>
      </c>
      <c r="AA74" s="47">
        <f>IFERROR(Production[[#This Row],[Ok Quantity]]/(Production[[#This Row],[Ok Quantity]]+Production[[#This Row],[Defect Quantity]]),"")</f>
        <v>0.8836772983114447</v>
      </c>
      <c r="AB74" s="44">
        <f>IFERROR(Production[[#This Row],[Quality %]]*Production[[#This Row],[Performance %]]*Production[[#This Row],[Availability %]],"")</f>
        <v>0.50731292517006799</v>
      </c>
    </row>
    <row r="75" spans="1:28" x14ac:dyDescent="0.25">
      <c r="A75" s="91" t="str">
        <f t="shared" si="2"/>
        <v/>
      </c>
      <c r="B75" s="26">
        <v>43045</v>
      </c>
      <c r="C75" s="28">
        <v>2</v>
      </c>
      <c r="D75" s="9" t="s">
        <v>29</v>
      </c>
      <c r="E75" s="9" t="s">
        <v>22</v>
      </c>
      <c r="F75" s="31">
        <v>7</v>
      </c>
      <c r="G75" s="33">
        <f>IFERROR(VLOOKUP(Production[[#This Row],[Shift]],Database!G:H,2,0),"")</f>
        <v>8</v>
      </c>
      <c r="H75" s="31">
        <v>1</v>
      </c>
      <c r="I75" s="33">
        <f>IFERROR(Production[[#This Row],[Available time (Hrs)]]-Production[[#This Row],[Planned downtime (Hrs)]],"")</f>
        <v>7</v>
      </c>
      <c r="J75" s="33">
        <f>IF(Production[[#This Row],[Available time (Hrs)]]="","",Production[[#This Row],[Available time (Hrs)]]-Production[[#This Row],[Actual Run Time (Hrs)]]-Production[[#This Row],[Planned downtime (Hrs)]])</f>
        <v>0</v>
      </c>
      <c r="K75" s="9" t="s">
        <v>36</v>
      </c>
      <c r="L75" s="41">
        <f>IFERROR(Production[[#This Row],[UPH]]*(Production[[#This Row],[Available time (Hrs)]]-Production[[#This Row],[Planned downtime (Hrs)]]),"")</f>
        <v>681.08108108108104</v>
      </c>
      <c r="M75" s="42">
        <v>496</v>
      </c>
      <c r="N75" s="42">
        <v>35</v>
      </c>
      <c r="O75" s="43">
        <v>1</v>
      </c>
      <c r="P75" s="44">
        <f>IFERROR(Production[[#This Row],[Defect Quantity]]/(Production[[#This Row],[Defect Quantity]]+Production[[#This Row],[Ok Quantity]]),"")</f>
        <v>6.5913370998116755E-2</v>
      </c>
      <c r="Q75" s="44">
        <f>IFERROR(IF(Production[[#This Row],[Ok Quantity]]="","",Production[[#This Row],[Ok Quantity]]/Production[[#This Row],[Target Quantity]]),"")</f>
        <v>0.72825396825396826</v>
      </c>
      <c r="R75" s="41">
        <f>IFERROR(VLOOKUP(Production[[#This Row],[Product]],Database!B:E,4,0)*Production[[#This Row],[Defect Quantity]],"")</f>
        <v>1925</v>
      </c>
      <c r="S75" s="41">
        <f>IFERROR(VLOOKUP(Production[[#This Row],[Line]],Database!L:M,2,0)*(Production[[#This Row],[Lose Time (Hrs)]]),"")</f>
        <v>0</v>
      </c>
      <c r="T75" s="41">
        <f>IFERROR(Production[[#This Row],[Lose Time Cost]]+Production[[#This Row],[Defect Cost]],"")</f>
        <v>1925</v>
      </c>
      <c r="U75" s="45">
        <f>IFERROR(3600/VLOOKUP(Production[[#This Row],[Product]],Database!B:E,2,0),"")</f>
        <v>97.297297297297291</v>
      </c>
      <c r="V75" s="45">
        <f>IFERROR(Production[[#This Row],[UPH]]/VLOOKUP(Production[[#This Row],[Product]],Database!B:E,3,0),"")</f>
        <v>32.432432432432428</v>
      </c>
      <c r="W75" s="46">
        <f>IFERROR(Production[[#This Row],[Actual Run Time (Hrs)]]/Production[[#This Row],[Breakdowns]],"")</f>
        <v>7</v>
      </c>
      <c r="X75" s="46">
        <f>IFERROR(Production[[#This Row],[Lose Time (Hrs)]]/Production[[#This Row],[Breakdowns]],"")</f>
        <v>0</v>
      </c>
      <c r="Y75" s="44">
        <f>IFERROR(IF(Production[[#This Row],[Actual Run Time (Hrs)]]="","",Production[[#This Row],[Actual Run Time (Hrs)]]/(Production[[#This Row],[Available time (Hrs)]]-Production[[#This Row],[Planned downtime (Hrs)]])),"")</f>
        <v>1</v>
      </c>
      <c r="Z75" s="47">
        <f>IFERROR((IF(Production[[#This Row],[Ok Quantity]]="","",Production[[#This Row],[Ok Quantity]]+Production[[#This Row],[Defect Quantity]])/Production[[#This Row],[Target Quantity]]),"")</f>
        <v>0.77964285714285719</v>
      </c>
      <c r="AA75" s="47">
        <f>IFERROR(Production[[#This Row],[Ok Quantity]]/(Production[[#This Row],[Ok Quantity]]+Production[[#This Row],[Defect Quantity]]),"")</f>
        <v>0.93408662900188322</v>
      </c>
      <c r="AB75" s="44">
        <f>IFERROR(Production[[#This Row],[Quality %]]*Production[[#This Row],[Performance %]]*Production[[#This Row],[Availability %]],"")</f>
        <v>0.72825396825396826</v>
      </c>
    </row>
    <row r="76" spans="1:28" x14ac:dyDescent="0.25">
      <c r="A76" s="91" t="str">
        <f t="shared" si="2"/>
        <v/>
      </c>
      <c r="B76" s="26">
        <v>42897</v>
      </c>
      <c r="C76" s="28">
        <v>1</v>
      </c>
      <c r="D76" s="9" t="s">
        <v>50</v>
      </c>
      <c r="E76" s="9" t="s">
        <v>19</v>
      </c>
      <c r="F76" s="31">
        <v>6</v>
      </c>
      <c r="G76" s="33">
        <f>IFERROR(VLOOKUP(Production[[#This Row],[Shift]],Database!G:H,2,0),"")</f>
        <v>8</v>
      </c>
      <c r="H76" s="31">
        <v>1</v>
      </c>
      <c r="I76" s="33">
        <f>IFERROR(Production[[#This Row],[Available time (Hrs)]]-Production[[#This Row],[Planned downtime (Hrs)]],"")</f>
        <v>7</v>
      </c>
      <c r="J76" s="33">
        <f>IF(Production[[#This Row],[Available time (Hrs)]]="","",Production[[#This Row],[Available time (Hrs)]]-Production[[#This Row],[Actual Run Time (Hrs)]]-Production[[#This Row],[Planned downtime (Hrs)]])</f>
        <v>1</v>
      </c>
      <c r="K76" s="9" t="s">
        <v>37</v>
      </c>
      <c r="L76" s="41">
        <f>IFERROR(Production[[#This Row],[UPH]]*(Production[[#This Row],[Available time (Hrs)]]-Production[[#This Row],[Planned downtime (Hrs)]]),"")</f>
        <v>630</v>
      </c>
      <c r="M76" s="42">
        <v>434</v>
      </c>
      <c r="N76" s="42">
        <v>83</v>
      </c>
      <c r="O76" s="43">
        <v>2</v>
      </c>
      <c r="P76" s="44">
        <f>IFERROR(Production[[#This Row],[Defect Quantity]]/(Production[[#This Row],[Defect Quantity]]+Production[[#This Row],[Ok Quantity]]),"")</f>
        <v>0.16054158607350097</v>
      </c>
      <c r="Q76" s="44">
        <f>IFERROR(IF(Production[[#This Row],[Ok Quantity]]="","",Production[[#This Row],[Ok Quantity]]/Production[[#This Row],[Target Quantity]]),"")</f>
        <v>0.68888888888888888</v>
      </c>
      <c r="R76" s="41">
        <f>IFERROR(VLOOKUP(Production[[#This Row],[Product]],Database!B:E,4,0)*Production[[#This Row],[Defect Quantity]],"")</f>
        <v>4980</v>
      </c>
      <c r="S76" s="41">
        <f>IFERROR(VLOOKUP(Production[[#This Row],[Line]],Database!L:M,2,0)*(Production[[#This Row],[Lose Time (Hrs)]]),"")</f>
        <v>1500</v>
      </c>
      <c r="T76" s="41">
        <f>IFERROR(Production[[#This Row],[Lose Time Cost]]+Production[[#This Row],[Defect Cost]],"")</f>
        <v>6480</v>
      </c>
      <c r="U76" s="45">
        <f>IFERROR(3600/VLOOKUP(Production[[#This Row],[Product]],Database!B:E,2,0),"")</f>
        <v>90</v>
      </c>
      <c r="V76" s="45">
        <f>IFERROR(Production[[#This Row],[UPH]]/VLOOKUP(Production[[#This Row],[Product]],Database!B:E,3,0),"")</f>
        <v>22.5</v>
      </c>
      <c r="W76" s="46">
        <f>IFERROR(Production[[#This Row],[Actual Run Time (Hrs)]]/Production[[#This Row],[Breakdowns]],"")</f>
        <v>3</v>
      </c>
      <c r="X76" s="46">
        <f>IFERROR(Production[[#This Row],[Lose Time (Hrs)]]/Production[[#This Row],[Breakdowns]],"")</f>
        <v>0.5</v>
      </c>
      <c r="Y76" s="44">
        <f>IFERROR(IF(Production[[#This Row],[Actual Run Time (Hrs)]]="","",Production[[#This Row],[Actual Run Time (Hrs)]]/(Production[[#This Row],[Available time (Hrs)]]-Production[[#This Row],[Planned downtime (Hrs)]])),"")</f>
        <v>0.8571428571428571</v>
      </c>
      <c r="Z76" s="47">
        <f>IFERROR((IF(Production[[#This Row],[Ok Quantity]]="","",Production[[#This Row],[Ok Quantity]]+Production[[#This Row],[Defect Quantity]])/Production[[#This Row],[Target Quantity]]),"")</f>
        <v>0.82063492063492061</v>
      </c>
      <c r="AA76" s="47">
        <f>IFERROR(Production[[#This Row],[Ok Quantity]]/(Production[[#This Row],[Ok Quantity]]+Production[[#This Row],[Defect Quantity]]),"")</f>
        <v>0.839458413926499</v>
      </c>
      <c r="AB76" s="44">
        <f>IFERROR(Production[[#This Row],[Quality %]]*Production[[#This Row],[Performance %]]*Production[[#This Row],[Availability %]],"")</f>
        <v>0.59047619047619049</v>
      </c>
    </row>
    <row r="77" spans="1:28" x14ac:dyDescent="0.25">
      <c r="A77" s="91" t="str">
        <f t="shared" si="2"/>
        <v/>
      </c>
      <c r="B77" s="26">
        <v>42322</v>
      </c>
      <c r="C77" s="28">
        <v>3</v>
      </c>
      <c r="D77" s="9" t="s">
        <v>50</v>
      </c>
      <c r="E77" s="9" t="s">
        <v>25</v>
      </c>
      <c r="F77" s="31">
        <v>7</v>
      </c>
      <c r="G77" s="33">
        <f>IFERROR(VLOOKUP(Production[[#This Row],[Shift]],Database!G:H,2,0),"")</f>
        <v>8</v>
      </c>
      <c r="H77" s="31">
        <v>1</v>
      </c>
      <c r="I77" s="33">
        <f>IFERROR(Production[[#This Row],[Available time (Hrs)]]-Production[[#This Row],[Planned downtime (Hrs)]],"")</f>
        <v>7</v>
      </c>
      <c r="J77" s="33">
        <f>IF(Production[[#This Row],[Available time (Hrs)]]="","",Production[[#This Row],[Available time (Hrs)]]-Production[[#This Row],[Actual Run Time (Hrs)]]-Production[[#This Row],[Planned downtime (Hrs)]])</f>
        <v>0</v>
      </c>
      <c r="L77" s="41">
        <f>IFERROR(Production[[#This Row],[UPH]]*(Production[[#This Row],[Available time (Hrs)]]-Production[[#This Row],[Planned downtime (Hrs)]]),"")</f>
        <v>600</v>
      </c>
      <c r="M77" s="42">
        <v>432</v>
      </c>
      <c r="N77" s="42">
        <v>54</v>
      </c>
      <c r="O77" s="43">
        <v>0</v>
      </c>
      <c r="P77" s="44">
        <f>IFERROR(Production[[#This Row],[Defect Quantity]]/(Production[[#This Row],[Defect Quantity]]+Production[[#This Row],[Ok Quantity]]),"")</f>
        <v>0.1111111111111111</v>
      </c>
      <c r="Q77" s="44">
        <f>IFERROR(IF(Production[[#This Row],[Ok Quantity]]="","",Production[[#This Row],[Ok Quantity]]/Production[[#This Row],[Target Quantity]]),"")</f>
        <v>0.72</v>
      </c>
      <c r="R77" s="41">
        <f>IFERROR(VLOOKUP(Production[[#This Row],[Product]],Database!B:E,4,0)*Production[[#This Row],[Defect Quantity]],"")</f>
        <v>2754</v>
      </c>
      <c r="S77" s="41">
        <f>IFERROR(VLOOKUP(Production[[#This Row],[Line]],Database!L:M,2,0)*(Production[[#This Row],[Lose Time (Hrs)]]),"")</f>
        <v>0</v>
      </c>
      <c r="T77" s="41">
        <f>IFERROR(Production[[#This Row],[Lose Time Cost]]+Production[[#This Row],[Defect Cost]],"")</f>
        <v>2754</v>
      </c>
      <c r="U77" s="45">
        <f>IFERROR(3600/VLOOKUP(Production[[#This Row],[Product]],Database!B:E,2,0),"")</f>
        <v>85.714285714285708</v>
      </c>
      <c r="V77" s="45">
        <f>IFERROR(Production[[#This Row],[UPH]]/VLOOKUP(Production[[#This Row],[Product]],Database!B:E,3,0),"")</f>
        <v>28.571428571428569</v>
      </c>
      <c r="W77" s="46" t="str">
        <f>IFERROR(Production[[#This Row],[Actual Run Time (Hrs)]]/Production[[#This Row],[Breakdowns]],"")</f>
        <v/>
      </c>
      <c r="X77" s="46" t="str">
        <f>IFERROR(Production[[#This Row],[Lose Time (Hrs)]]/Production[[#This Row],[Breakdowns]],"")</f>
        <v/>
      </c>
      <c r="Y77" s="44">
        <f>IFERROR(IF(Production[[#This Row],[Actual Run Time (Hrs)]]="","",Production[[#This Row],[Actual Run Time (Hrs)]]/(Production[[#This Row],[Available time (Hrs)]]-Production[[#This Row],[Planned downtime (Hrs)]])),"")</f>
        <v>1</v>
      </c>
      <c r="Z77" s="47">
        <f>IFERROR((IF(Production[[#This Row],[Ok Quantity]]="","",Production[[#This Row],[Ok Quantity]]+Production[[#This Row],[Defect Quantity]])/Production[[#This Row],[Target Quantity]]),"")</f>
        <v>0.81</v>
      </c>
      <c r="AA77" s="47">
        <f>IFERROR(Production[[#This Row],[Ok Quantity]]/(Production[[#This Row],[Ok Quantity]]+Production[[#This Row],[Defect Quantity]]),"")</f>
        <v>0.88888888888888884</v>
      </c>
      <c r="AB77" s="44">
        <f>IFERROR(Production[[#This Row],[Quality %]]*Production[[#This Row],[Performance %]]*Production[[#This Row],[Availability %]],"")</f>
        <v>0.72</v>
      </c>
    </row>
    <row r="78" spans="1:28" x14ac:dyDescent="0.25">
      <c r="A78" s="91" t="str">
        <f t="shared" si="2"/>
        <v/>
      </c>
      <c r="B78" s="26">
        <v>42271</v>
      </c>
      <c r="C78" s="28">
        <v>1</v>
      </c>
      <c r="D78" s="9" t="s">
        <v>51</v>
      </c>
      <c r="E78" s="9" t="s">
        <v>24</v>
      </c>
      <c r="F78" s="31">
        <v>5</v>
      </c>
      <c r="G78" s="33">
        <f>IFERROR(VLOOKUP(Production[[#This Row],[Shift]],Database!G:H,2,0),"")</f>
        <v>8</v>
      </c>
      <c r="H78" s="31">
        <v>1</v>
      </c>
      <c r="I78" s="33">
        <f>IFERROR(Production[[#This Row],[Available time (Hrs)]]-Production[[#This Row],[Planned downtime (Hrs)]],"")</f>
        <v>7</v>
      </c>
      <c r="J78" s="33">
        <f>IF(Production[[#This Row],[Available time (Hrs)]]="","",Production[[#This Row],[Available time (Hrs)]]-Production[[#This Row],[Actual Run Time (Hrs)]]-Production[[#This Row],[Planned downtime (Hrs)]])</f>
        <v>2</v>
      </c>
      <c r="K78" s="9" t="s">
        <v>68</v>
      </c>
      <c r="L78" s="41">
        <f>IFERROR(Production[[#This Row],[UPH]]*(Production[[#This Row],[Available time (Hrs)]]-Production[[#This Row],[Planned downtime (Hrs)]]),"")</f>
        <v>663.1578947368422</v>
      </c>
      <c r="M78" s="42">
        <v>479</v>
      </c>
      <c r="N78" s="42">
        <v>87</v>
      </c>
      <c r="O78" s="43">
        <v>1</v>
      </c>
      <c r="P78" s="44">
        <f>IFERROR(Production[[#This Row],[Defect Quantity]]/(Production[[#This Row],[Defect Quantity]]+Production[[#This Row],[Ok Quantity]]),"")</f>
        <v>0.15371024734982333</v>
      </c>
      <c r="Q78" s="44">
        <f>IFERROR(IF(Production[[#This Row],[Ok Quantity]]="","",Production[[#This Row],[Ok Quantity]]/Production[[#This Row],[Target Quantity]]),"")</f>
        <v>0.72230158730158722</v>
      </c>
      <c r="R78" s="41">
        <f>IFERROR(VLOOKUP(Production[[#This Row],[Product]],Database!B:E,4,0)*Production[[#This Row],[Defect Quantity]],"")</f>
        <v>3654</v>
      </c>
      <c r="S78" s="41">
        <f>IFERROR(VLOOKUP(Production[[#This Row],[Line]],Database!L:M,2,0)*(Production[[#This Row],[Lose Time (Hrs)]]),"")</f>
        <v>2600</v>
      </c>
      <c r="T78" s="41">
        <f>IFERROR(Production[[#This Row],[Lose Time Cost]]+Production[[#This Row],[Defect Cost]],"")</f>
        <v>6254</v>
      </c>
      <c r="U78" s="45">
        <f>IFERROR(3600/VLOOKUP(Production[[#This Row],[Product]],Database!B:E,2,0),"")</f>
        <v>94.736842105263165</v>
      </c>
      <c r="V78" s="45">
        <f>IFERROR(Production[[#This Row],[UPH]]/VLOOKUP(Production[[#This Row],[Product]],Database!B:E,3,0),"")</f>
        <v>47.368421052631582</v>
      </c>
      <c r="W78" s="46">
        <f>IFERROR(Production[[#This Row],[Actual Run Time (Hrs)]]/Production[[#This Row],[Breakdowns]],"")</f>
        <v>5</v>
      </c>
      <c r="X78" s="46">
        <f>IFERROR(Production[[#This Row],[Lose Time (Hrs)]]/Production[[#This Row],[Breakdowns]],"")</f>
        <v>2</v>
      </c>
      <c r="Y78" s="44">
        <f>IFERROR(IF(Production[[#This Row],[Actual Run Time (Hrs)]]="","",Production[[#This Row],[Actual Run Time (Hrs)]]/(Production[[#This Row],[Available time (Hrs)]]-Production[[#This Row],[Planned downtime (Hrs)]])),"")</f>
        <v>0.7142857142857143</v>
      </c>
      <c r="Z78" s="47">
        <f>IFERROR((IF(Production[[#This Row],[Ok Quantity]]="","",Production[[#This Row],[Ok Quantity]]+Production[[#This Row],[Defect Quantity]])/Production[[#This Row],[Target Quantity]]),"")</f>
        <v>0.85349206349206341</v>
      </c>
      <c r="AA78" s="47">
        <f>IFERROR(Production[[#This Row],[Ok Quantity]]/(Production[[#This Row],[Ok Quantity]]+Production[[#This Row],[Defect Quantity]]),"")</f>
        <v>0.8462897526501767</v>
      </c>
      <c r="AB78" s="44">
        <f>IFERROR(Production[[#This Row],[Quality %]]*Production[[#This Row],[Performance %]]*Production[[#This Row],[Availability %]],"")</f>
        <v>0.51592970521541948</v>
      </c>
    </row>
    <row r="79" spans="1:28" x14ac:dyDescent="0.25">
      <c r="A79" s="91" t="str">
        <f t="shared" si="2"/>
        <v/>
      </c>
      <c r="B79" s="26">
        <v>42752</v>
      </c>
      <c r="C79" s="28">
        <v>3</v>
      </c>
      <c r="D79" s="9" t="s">
        <v>51</v>
      </c>
      <c r="E79" s="9" t="s">
        <v>21</v>
      </c>
      <c r="F79" s="31">
        <v>4</v>
      </c>
      <c r="G79" s="33">
        <f>IFERROR(VLOOKUP(Production[[#This Row],[Shift]],Database!G:H,2,0),"")</f>
        <v>8</v>
      </c>
      <c r="H79" s="31">
        <v>1</v>
      </c>
      <c r="I79" s="33">
        <f>IFERROR(Production[[#This Row],[Available time (Hrs)]]-Production[[#This Row],[Planned downtime (Hrs)]],"")</f>
        <v>7</v>
      </c>
      <c r="J79" s="33">
        <f>IF(Production[[#This Row],[Available time (Hrs)]]="","",Production[[#This Row],[Available time (Hrs)]]-Production[[#This Row],[Actual Run Time (Hrs)]]-Production[[#This Row],[Planned downtime (Hrs)]])</f>
        <v>3</v>
      </c>
      <c r="K79" s="9" t="s">
        <v>36</v>
      </c>
      <c r="L79" s="41">
        <f>IFERROR(Production[[#This Row],[UPH]]*(Production[[#This Row],[Available time (Hrs)]]-Production[[#This Row],[Planned downtime (Hrs)]]),"")</f>
        <v>630</v>
      </c>
      <c r="M79" s="42">
        <v>476</v>
      </c>
      <c r="N79" s="42">
        <v>57</v>
      </c>
      <c r="O79" s="43">
        <v>1</v>
      </c>
      <c r="P79" s="44">
        <f>IFERROR(Production[[#This Row],[Defect Quantity]]/(Production[[#This Row],[Defect Quantity]]+Production[[#This Row],[Ok Quantity]]),"")</f>
        <v>0.10694183864915573</v>
      </c>
      <c r="Q79" s="44">
        <f>IFERROR(IF(Production[[#This Row],[Ok Quantity]]="","",Production[[#This Row],[Ok Quantity]]/Production[[#This Row],[Target Quantity]]),"")</f>
        <v>0.75555555555555554</v>
      </c>
      <c r="R79" s="41">
        <f>IFERROR(VLOOKUP(Production[[#This Row],[Product]],Database!B:E,4,0)*Production[[#This Row],[Defect Quantity]],"")</f>
        <v>2280</v>
      </c>
      <c r="S79" s="41">
        <f>IFERROR(VLOOKUP(Production[[#This Row],[Line]],Database!L:M,2,0)*(Production[[#This Row],[Lose Time (Hrs)]]),"")</f>
        <v>3900</v>
      </c>
      <c r="T79" s="41">
        <f>IFERROR(Production[[#This Row],[Lose Time Cost]]+Production[[#This Row],[Defect Cost]],"")</f>
        <v>6180</v>
      </c>
      <c r="U79" s="45">
        <f>IFERROR(3600/VLOOKUP(Production[[#This Row],[Product]],Database!B:E,2,0),"")</f>
        <v>90</v>
      </c>
      <c r="V79" s="45">
        <f>IFERROR(Production[[#This Row],[UPH]]/VLOOKUP(Production[[#This Row],[Product]],Database!B:E,3,0),"")</f>
        <v>30</v>
      </c>
      <c r="W79" s="46">
        <f>IFERROR(Production[[#This Row],[Actual Run Time (Hrs)]]/Production[[#This Row],[Breakdowns]],"")</f>
        <v>4</v>
      </c>
      <c r="X79" s="46">
        <f>IFERROR(Production[[#This Row],[Lose Time (Hrs)]]/Production[[#This Row],[Breakdowns]],"")</f>
        <v>3</v>
      </c>
      <c r="Y79" s="44">
        <f>IFERROR(IF(Production[[#This Row],[Actual Run Time (Hrs)]]="","",Production[[#This Row],[Actual Run Time (Hrs)]]/(Production[[#This Row],[Available time (Hrs)]]-Production[[#This Row],[Planned downtime (Hrs)]])),"")</f>
        <v>0.5714285714285714</v>
      </c>
      <c r="Z79" s="47">
        <f>IFERROR((IF(Production[[#This Row],[Ok Quantity]]="","",Production[[#This Row],[Ok Quantity]]+Production[[#This Row],[Defect Quantity]])/Production[[#This Row],[Target Quantity]]),"")</f>
        <v>0.84603174603174602</v>
      </c>
      <c r="AA79" s="47">
        <f>IFERROR(Production[[#This Row],[Ok Quantity]]/(Production[[#This Row],[Ok Quantity]]+Production[[#This Row],[Defect Quantity]]),"")</f>
        <v>0.89305816135084426</v>
      </c>
      <c r="AB79" s="44">
        <f>IFERROR(Production[[#This Row],[Quality %]]*Production[[#This Row],[Performance %]]*Production[[#This Row],[Availability %]],"")</f>
        <v>0.43174603174603171</v>
      </c>
    </row>
    <row r="80" spans="1:28" x14ac:dyDescent="0.25">
      <c r="A80" s="91" t="str">
        <f t="shared" si="2"/>
        <v/>
      </c>
      <c r="B80" s="26">
        <v>42509</v>
      </c>
      <c r="C80" s="28">
        <v>1</v>
      </c>
      <c r="D80" s="9" t="s">
        <v>28</v>
      </c>
      <c r="E80" s="9" t="s">
        <v>25</v>
      </c>
      <c r="F80" s="31">
        <v>6</v>
      </c>
      <c r="G80" s="33">
        <f>IFERROR(VLOOKUP(Production[[#This Row],[Shift]],Database!G:H,2,0),"")</f>
        <v>8</v>
      </c>
      <c r="H80" s="31">
        <v>1</v>
      </c>
      <c r="I80" s="33">
        <f>IFERROR(Production[[#This Row],[Available time (Hrs)]]-Production[[#This Row],[Planned downtime (Hrs)]],"")</f>
        <v>7</v>
      </c>
      <c r="J80" s="33">
        <f>IF(Production[[#This Row],[Available time (Hrs)]]="","",Production[[#This Row],[Available time (Hrs)]]-Production[[#This Row],[Actual Run Time (Hrs)]]-Production[[#This Row],[Planned downtime (Hrs)]])</f>
        <v>1</v>
      </c>
      <c r="K80" s="9" t="s">
        <v>36</v>
      </c>
      <c r="L80" s="41">
        <f>IFERROR(Production[[#This Row],[UPH]]*(Production[[#This Row],[Available time (Hrs)]]-Production[[#This Row],[Planned downtime (Hrs)]]),"")</f>
        <v>600</v>
      </c>
      <c r="M80" s="42">
        <v>474</v>
      </c>
      <c r="N80" s="42">
        <v>76</v>
      </c>
      <c r="O80" s="43">
        <v>2</v>
      </c>
      <c r="P80" s="44">
        <f>IFERROR(Production[[#This Row],[Defect Quantity]]/(Production[[#This Row],[Defect Quantity]]+Production[[#This Row],[Ok Quantity]]),"")</f>
        <v>0.13818181818181818</v>
      </c>
      <c r="Q80" s="44">
        <f>IFERROR(IF(Production[[#This Row],[Ok Quantity]]="","",Production[[#This Row],[Ok Quantity]]/Production[[#This Row],[Target Quantity]]),"")</f>
        <v>0.79</v>
      </c>
      <c r="R80" s="41">
        <f>IFERROR(VLOOKUP(Production[[#This Row],[Product]],Database!B:E,4,0)*Production[[#This Row],[Defect Quantity]],"")</f>
        <v>3876</v>
      </c>
      <c r="S80" s="41">
        <f>IFERROR(VLOOKUP(Production[[#This Row],[Line]],Database!L:M,2,0)*(Production[[#This Row],[Lose Time (Hrs)]]),"")</f>
        <v>1200</v>
      </c>
      <c r="T80" s="41">
        <f>IFERROR(Production[[#This Row],[Lose Time Cost]]+Production[[#This Row],[Defect Cost]],"")</f>
        <v>5076</v>
      </c>
      <c r="U80" s="45">
        <f>IFERROR(3600/VLOOKUP(Production[[#This Row],[Product]],Database!B:E,2,0),"")</f>
        <v>85.714285714285708</v>
      </c>
      <c r="V80" s="45">
        <f>IFERROR(Production[[#This Row],[UPH]]/VLOOKUP(Production[[#This Row],[Product]],Database!B:E,3,0),"")</f>
        <v>28.571428571428569</v>
      </c>
      <c r="W80" s="46">
        <f>IFERROR(Production[[#This Row],[Actual Run Time (Hrs)]]/Production[[#This Row],[Breakdowns]],"")</f>
        <v>3</v>
      </c>
      <c r="X80" s="46">
        <f>IFERROR(Production[[#This Row],[Lose Time (Hrs)]]/Production[[#This Row],[Breakdowns]],"")</f>
        <v>0.5</v>
      </c>
      <c r="Y80" s="44">
        <f>IFERROR(IF(Production[[#This Row],[Actual Run Time (Hrs)]]="","",Production[[#This Row],[Actual Run Time (Hrs)]]/(Production[[#This Row],[Available time (Hrs)]]-Production[[#This Row],[Planned downtime (Hrs)]])),"")</f>
        <v>0.8571428571428571</v>
      </c>
      <c r="Z80" s="47">
        <f>IFERROR((IF(Production[[#This Row],[Ok Quantity]]="","",Production[[#This Row],[Ok Quantity]]+Production[[#This Row],[Defect Quantity]])/Production[[#This Row],[Target Quantity]]),"")</f>
        <v>0.91666666666666663</v>
      </c>
      <c r="AA80" s="47">
        <f>IFERROR(Production[[#This Row],[Ok Quantity]]/(Production[[#This Row],[Ok Quantity]]+Production[[#This Row],[Defect Quantity]]),"")</f>
        <v>0.86181818181818182</v>
      </c>
      <c r="AB80" s="44">
        <f>IFERROR(Production[[#This Row],[Quality %]]*Production[[#This Row],[Performance %]]*Production[[#This Row],[Availability %]],"")</f>
        <v>0.67714285714285705</v>
      </c>
    </row>
    <row r="81" spans="1:28" x14ac:dyDescent="0.25">
      <c r="A81" s="91" t="str">
        <f t="shared" si="2"/>
        <v/>
      </c>
      <c r="B81" s="26">
        <v>43604</v>
      </c>
      <c r="C81" s="28">
        <v>2</v>
      </c>
      <c r="D81" s="9" t="s">
        <v>50</v>
      </c>
      <c r="E81" s="9" t="s">
        <v>19</v>
      </c>
      <c r="F81" s="31">
        <v>4</v>
      </c>
      <c r="G81" s="33">
        <f>IFERROR(VLOOKUP(Production[[#This Row],[Shift]],Database!G:H,2,0),"")</f>
        <v>8</v>
      </c>
      <c r="H81" s="31">
        <v>1</v>
      </c>
      <c r="I81" s="33">
        <f>IFERROR(Production[[#This Row],[Available time (Hrs)]]-Production[[#This Row],[Planned downtime (Hrs)]],"")</f>
        <v>7</v>
      </c>
      <c r="J81" s="33">
        <f>IF(Production[[#This Row],[Available time (Hrs)]]="","",Production[[#This Row],[Available time (Hrs)]]-Production[[#This Row],[Actual Run Time (Hrs)]]-Production[[#This Row],[Planned downtime (Hrs)]])</f>
        <v>3</v>
      </c>
      <c r="K81" s="9" t="s">
        <v>37</v>
      </c>
      <c r="L81" s="41">
        <f>IFERROR(Production[[#This Row],[UPH]]*(Production[[#This Row],[Available time (Hrs)]]-Production[[#This Row],[Planned downtime (Hrs)]]),"")</f>
        <v>630</v>
      </c>
      <c r="M81" s="42">
        <v>489</v>
      </c>
      <c r="N81" s="42">
        <v>69</v>
      </c>
      <c r="O81" s="43">
        <v>3</v>
      </c>
      <c r="P81" s="44">
        <f>IFERROR(Production[[#This Row],[Defect Quantity]]/(Production[[#This Row],[Defect Quantity]]+Production[[#This Row],[Ok Quantity]]),"")</f>
        <v>0.12365591397849462</v>
      </c>
      <c r="Q81" s="44">
        <f>IFERROR(IF(Production[[#This Row],[Ok Quantity]]="","",Production[[#This Row],[Ok Quantity]]/Production[[#This Row],[Target Quantity]]),"")</f>
        <v>0.77619047619047621</v>
      </c>
      <c r="R81" s="41">
        <f>IFERROR(VLOOKUP(Production[[#This Row],[Product]],Database!B:E,4,0)*Production[[#This Row],[Defect Quantity]],"")</f>
        <v>4140</v>
      </c>
      <c r="S81" s="41">
        <f>IFERROR(VLOOKUP(Production[[#This Row],[Line]],Database!L:M,2,0)*(Production[[#This Row],[Lose Time (Hrs)]]),"")</f>
        <v>4500</v>
      </c>
      <c r="T81" s="41">
        <f>IFERROR(Production[[#This Row],[Lose Time Cost]]+Production[[#This Row],[Defect Cost]],"")</f>
        <v>8640</v>
      </c>
      <c r="U81" s="45">
        <f>IFERROR(3600/VLOOKUP(Production[[#This Row],[Product]],Database!B:E,2,0),"")</f>
        <v>90</v>
      </c>
      <c r="V81" s="45">
        <f>IFERROR(Production[[#This Row],[UPH]]/VLOOKUP(Production[[#This Row],[Product]],Database!B:E,3,0),"")</f>
        <v>22.5</v>
      </c>
      <c r="W81" s="46">
        <f>IFERROR(Production[[#This Row],[Actual Run Time (Hrs)]]/Production[[#This Row],[Breakdowns]],"")</f>
        <v>1.3333333333333333</v>
      </c>
      <c r="X81" s="46">
        <f>IFERROR(Production[[#This Row],[Lose Time (Hrs)]]/Production[[#This Row],[Breakdowns]],"")</f>
        <v>1</v>
      </c>
      <c r="Y81" s="44">
        <f>IFERROR(IF(Production[[#This Row],[Actual Run Time (Hrs)]]="","",Production[[#This Row],[Actual Run Time (Hrs)]]/(Production[[#This Row],[Available time (Hrs)]]-Production[[#This Row],[Planned downtime (Hrs)]])),"")</f>
        <v>0.5714285714285714</v>
      </c>
      <c r="Z81" s="47">
        <f>IFERROR((IF(Production[[#This Row],[Ok Quantity]]="","",Production[[#This Row],[Ok Quantity]]+Production[[#This Row],[Defect Quantity]])/Production[[#This Row],[Target Quantity]]),"")</f>
        <v>0.88571428571428568</v>
      </c>
      <c r="AA81" s="47">
        <f>IFERROR(Production[[#This Row],[Ok Quantity]]/(Production[[#This Row],[Ok Quantity]]+Production[[#This Row],[Defect Quantity]]),"")</f>
        <v>0.87634408602150538</v>
      </c>
      <c r="AB81" s="44">
        <f>IFERROR(Production[[#This Row],[Quality %]]*Production[[#This Row],[Performance %]]*Production[[#This Row],[Availability %]],"")</f>
        <v>0.44353741496598637</v>
      </c>
    </row>
    <row r="82" spans="1:28" x14ac:dyDescent="0.25">
      <c r="A82" s="91" t="str">
        <f t="shared" si="2"/>
        <v/>
      </c>
      <c r="B82" s="26">
        <v>43322</v>
      </c>
      <c r="C82" s="28">
        <v>1</v>
      </c>
      <c r="D82" s="9" t="s">
        <v>50</v>
      </c>
      <c r="E82" s="9" t="s">
        <v>19</v>
      </c>
      <c r="F82" s="31">
        <v>7</v>
      </c>
      <c r="G82" s="33">
        <f>IFERROR(VLOOKUP(Production[[#This Row],[Shift]],Database!G:H,2,0),"")</f>
        <v>8</v>
      </c>
      <c r="H82" s="31">
        <v>1</v>
      </c>
      <c r="I82" s="33">
        <f>IFERROR(Production[[#This Row],[Available time (Hrs)]]-Production[[#This Row],[Planned downtime (Hrs)]],"")</f>
        <v>7</v>
      </c>
      <c r="J82" s="33">
        <f>IF(Production[[#This Row],[Available time (Hrs)]]="","",Production[[#This Row],[Available time (Hrs)]]-Production[[#This Row],[Actual Run Time (Hrs)]]-Production[[#This Row],[Planned downtime (Hrs)]])</f>
        <v>0</v>
      </c>
      <c r="L82" s="41">
        <f>IFERROR(Production[[#This Row],[UPH]]*(Production[[#This Row],[Available time (Hrs)]]-Production[[#This Row],[Planned downtime (Hrs)]]),"")</f>
        <v>630</v>
      </c>
      <c r="M82" s="42">
        <v>457</v>
      </c>
      <c r="N82" s="42">
        <v>55</v>
      </c>
      <c r="O82" s="43">
        <v>0</v>
      </c>
      <c r="P82" s="44">
        <f>IFERROR(Production[[#This Row],[Defect Quantity]]/(Production[[#This Row],[Defect Quantity]]+Production[[#This Row],[Ok Quantity]]),"")</f>
        <v>0.107421875</v>
      </c>
      <c r="Q82" s="44">
        <f>IFERROR(IF(Production[[#This Row],[Ok Quantity]]="","",Production[[#This Row],[Ok Quantity]]/Production[[#This Row],[Target Quantity]]),"")</f>
        <v>0.72539682539682537</v>
      </c>
      <c r="R82" s="41">
        <f>IFERROR(VLOOKUP(Production[[#This Row],[Product]],Database!B:E,4,0)*Production[[#This Row],[Defect Quantity]],"")</f>
        <v>3300</v>
      </c>
      <c r="S82" s="41">
        <f>IFERROR(VLOOKUP(Production[[#This Row],[Line]],Database!L:M,2,0)*(Production[[#This Row],[Lose Time (Hrs)]]),"")</f>
        <v>0</v>
      </c>
      <c r="T82" s="41">
        <f>IFERROR(Production[[#This Row],[Lose Time Cost]]+Production[[#This Row],[Defect Cost]],"")</f>
        <v>3300</v>
      </c>
      <c r="U82" s="45">
        <f>IFERROR(3600/VLOOKUP(Production[[#This Row],[Product]],Database!B:E,2,0),"")</f>
        <v>90</v>
      </c>
      <c r="V82" s="45">
        <f>IFERROR(Production[[#This Row],[UPH]]/VLOOKUP(Production[[#This Row],[Product]],Database!B:E,3,0),"")</f>
        <v>22.5</v>
      </c>
      <c r="W82" s="46" t="str">
        <f>IFERROR(Production[[#This Row],[Actual Run Time (Hrs)]]/Production[[#This Row],[Breakdowns]],"")</f>
        <v/>
      </c>
      <c r="X82" s="46" t="str">
        <f>IFERROR(Production[[#This Row],[Lose Time (Hrs)]]/Production[[#This Row],[Breakdowns]],"")</f>
        <v/>
      </c>
      <c r="Y82" s="44">
        <f>IFERROR(IF(Production[[#This Row],[Actual Run Time (Hrs)]]="","",Production[[#This Row],[Actual Run Time (Hrs)]]/(Production[[#This Row],[Available time (Hrs)]]-Production[[#This Row],[Planned downtime (Hrs)]])),"")</f>
        <v>1</v>
      </c>
      <c r="Z82" s="47">
        <f>IFERROR((IF(Production[[#This Row],[Ok Quantity]]="","",Production[[#This Row],[Ok Quantity]]+Production[[#This Row],[Defect Quantity]])/Production[[#This Row],[Target Quantity]]),"")</f>
        <v>0.8126984126984127</v>
      </c>
      <c r="AA82" s="47">
        <f>IFERROR(Production[[#This Row],[Ok Quantity]]/(Production[[#This Row],[Ok Quantity]]+Production[[#This Row],[Defect Quantity]]),"")</f>
        <v>0.892578125</v>
      </c>
      <c r="AB82" s="44">
        <f>IFERROR(Production[[#This Row],[Quality %]]*Production[[#This Row],[Performance %]]*Production[[#This Row],[Availability %]],"")</f>
        <v>0.72539682539682537</v>
      </c>
    </row>
    <row r="83" spans="1:28" x14ac:dyDescent="0.25">
      <c r="A83" s="91" t="str">
        <f t="shared" si="2"/>
        <v/>
      </c>
      <c r="B83" s="26">
        <v>42675</v>
      </c>
      <c r="C83" s="28">
        <v>3</v>
      </c>
      <c r="D83" s="9" t="s">
        <v>29</v>
      </c>
      <c r="E83" s="9" t="s">
        <v>25</v>
      </c>
      <c r="F83" s="31">
        <v>5</v>
      </c>
      <c r="G83" s="33">
        <f>IFERROR(VLOOKUP(Production[[#This Row],[Shift]],Database!G:H,2,0),"")</f>
        <v>8</v>
      </c>
      <c r="H83" s="31">
        <v>1</v>
      </c>
      <c r="I83" s="33">
        <f>IFERROR(Production[[#This Row],[Available time (Hrs)]]-Production[[#This Row],[Planned downtime (Hrs)]],"")</f>
        <v>7</v>
      </c>
      <c r="J83" s="33">
        <f>IF(Production[[#This Row],[Available time (Hrs)]]="","",Production[[#This Row],[Available time (Hrs)]]-Production[[#This Row],[Actual Run Time (Hrs)]]-Production[[#This Row],[Planned downtime (Hrs)]])</f>
        <v>2</v>
      </c>
      <c r="K83" s="9" t="s">
        <v>35</v>
      </c>
      <c r="L83" s="41">
        <f>IFERROR(Production[[#This Row],[UPH]]*(Production[[#This Row],[Available time (Hrs)]]-Production[[#This Row],[Planned downtime (Hrs)]]),"")</f>
        <v>600</v>
      </c>
      <c r="M83" s="42">
        <v>459</v>
      </c>
      <c r="N83" s="42">
        <v>65</v>
      </c>
      <c r="O83" s="43">
        <v>2</v>
      </c>
      <c r="P83" s="44">
        <f>IFERROR(Production[[#This Row],[Defect Quantity]]/(Production[[#This Row],[Defect Quantity]]+Production[[#This Row],[Ok Quantity]]),"")</f>
        <v>0.12404580152671756</v>
      </c>
      <c r="Q83" s="44">
        <f>IFERROR(IF(Production[[#This Row],[Ok Quantity]]="","",Production[[#This Row],[Ok Quantity]]/Production[[#This Row],[Target Quantity]]),"")</f>
        <v>0.76500000000000001</v>
      </c>
      <c r="R83" s="41">
        <f>IFERROR(VLOOKUP(Production[[#This Row],[Product]],Database!B:E,4,0)*Production[[#This Row],[Defect Quantity]],"")</f>
        <v>3315</v>
      </c>
      <c r="S83" s="41">
        <f>IFERROR(VLOOKUP(Production[[#This Row],[Line]],Database!L:M,2,0)*(Production[[#This Row],[Lose Time (Hrs)]]),"")</f>
        <v>1800</v>
      </c>
      <c r="T83" s="41">
        <f>IFERROR(Production[[#This Row],[Lose Time Cost]]+Production[[#This Row],[Defect Cost]],"")</f>
        <v>5115</v>
      </c>
      <c r="U83" s="45">
        <f>IFERROR(3600/VLOOKUP(Production[[#This Row],[Product]],Database!B:E,2,0),"")</f>
        <v>85.714285714285708</v>
      </c>
      <c r="V83" s="45">
        <f>IFERROR(Production[[#This Row],[UPH]]/VLOOKUP(Production[[#This Row],[Product]],Database!B:E,3,0),"")</f>
        <v>28.571428571428569</v>
      </c>
      <c r="W83" s="46">
        <f>IFERROR(Production[[#This Row],[Actual Run Time (Hrs)]]/Production[[#This Row],[Breakdowns]],"")</f>
        <v>2.5</v>
      </c>
      <c r="X83" s="46">
        <f>IFERROR(Production[[#This Row],[Lose Time (Hrs)]]/Production[[#This Row],[Breakdowns]],"")</f>
        <v>1</v>
      </c>
      <c r="Y83" s="44">
        <f>IFERROR(IF(Production[[#This Row],[Actual Run Time (Hrs)]]="","",Production[[#This Row],[Actual Run Time (Hrs)]]/(Production[[#This Row],[Available time (Hrs)]]-Production[[#This Row],[Planned downtime (Hrs)]])),"")</f>
        <v>0.7142857142857143</v>
      </c>
      <c r="Z83" s="47">
        <f>IFERROR((IF(Production[[#This Row],[Ok Quantity]]="","",Production[[#This Row],[Ok Quantity]]+Production[[#This Row],[Defect Quantity]])/Production[[#This Row],[Target Quantity]]),"")</f>
        <v>0.87333333333333329</v>
      </c>
      <c r="AA83" s="47">
        <f>IFERROR(Production[[#This Row],[Ok Quantity]]/(Production[[#This Row],[Ok Quantity]]+Production[[#This Row],[Defect Quantity]]),"")</f>
        <v>0.87595419847328249</v>
      </c>
      <c r="AB83" s="44">
        <f>IFERROR(Production[[#This Row],[Quality %]]*Production[[#This Row],[Performance %]]*Production[[#This Row],[Availability %]],"")</f>
        <v>0.54642857142857149</v>
      </c>
    </row>
    <row r="84" spans="1:28" x14ac:dyDescent="0.25">
      <c r="A84" s="91" t="str">
        <f t="shared" si="2"/>
        <v/>
      </c>
      <c r="B84" s="26">
        <v>43460</v>
      </c>
      <c r="C84" s="28">
        <v>2</v>
      </c>
      <c r="D84" s="9" t="s">
        <v>50</v>
      </c>
      <c r="E84" s="9" t="s">
        <v>23</v>
      </c>
      <c r="F84" s="31">
        <v>6</v>
      </c>
      <c r="G84" s="33">
        <f>IFERROR(VLOOKUP(Production[[#This Row],[Shift]],Database!G:H,2,0),"")</f>
        <v>8</v>
      </c>
      <c r="H84" s="31">
        <v>1</v>
      </c>
      <c r="I84" s="33">
        <f>IFERROR(Production[[#This Row],[Available time (Hrs)]]-Production[[#This Row],[Planned downtime (Hrs)]],"")</f>
        <v>7</v>
      </c>
      <c r="J84" s="33">
        <f>IF(Production[[#This Row],[Available time (Hrs)]]="","",Production[[#This Row],[Available time (Hrs)]]-Production[[#This Row],[Actual Run Time (Hrs)]]-Production[[#This Row],[Planned downtime (Hrs)]])</f>
        <v>1</v>
      </c>
      <c r="K84" s="9" t="s">
        <v>37</v>
      </c>
      <c r="L84" s="41">
        <f>IFERROR(Production[[#This Row],[UPH]]*(Production[[#This Row],[Available time (Hrs)]]-Production[[#This Row],[Planned downtime (Hrs)]]),"")</f>
        <v>600</v>
      </c>
      <c r="M84" s="42">
        <v>408</v>
      </c>
      <c r="N84" s="42">
        <v>89</v>
      </c>
      <c r="O84" s="43">
        <v>1</v>
      </c>
      <c r="P84" s="44">
        <f>IFERROR(Production[[#This Row],[Defect Quantity]]/(Production[[#This Row],[Defect Quantity]]+Production[[#This Row],[Ok Quantity]]),"")</f>
        <v>0.17907444668008049</v>
      </c>
      <c r="Q84" s="44">
        <f>IFERROR(IF(Production[[#This Row],[Ok Quantity]]="","",Production[[#This Row],[Ok Quantity]]/Production[[#This Row],[Target Quantity]]),"")</f>
        <v>0.68</v>
      </c>
      <c r="R84" s="41">
        <f>IFERROR(VLOOKUP(Production[[#This Row],[Product]],Database!B:E,4,0)*Production[[#This Row],[Defect Quantity]],"")</f>
        <v>3115</v>
      </c>
      <c r="S84" s="41">
        <f>IFERROR(VLOOKUP(Production[[#This Row],[Line]],Database!L:M,2,0)*(Production[[#This Row],[Lose Time (Hrs)]]),"")</f>
        <v>1500</v>
      </c>
      <c r="T84" s="41">
        <f>IFERROR(Production[[#This Row],[Lose Time Cost]]+Production[[#This Row],[Defect Cost]],"")</f>
        <v>4615</v>
      </c>
      <c r="U84" s="45">
        <f>IFERROR(3600/VLOOKUP(Production[[#This Row],[Product]],Database!B:E,2,0),"")</f>
        <v>85.714285714285708</v>
      </c>
      <c r="V84" s="45">
        <f>IFERROR(Production[[#This Row],[UPH]]/VLOOKUP(Production[[#This Row],[Product]],Database!B:E,3,0),"")</f>
        <v>17.142857142857142</v>
      </c>
      <c r="W84" s="46">
        <f>IFERROR(Production[[#This Row],[Actual Run Time (Hrs)]]/Production[[#This Row],[Breakdowns]],"")</f>
        <v>6</v>
      </c>
      <c r="X84" s="46">
        <f>IFERROR(Production[[#This Row],[Lose Time (Hrs)]]/Production[[#This Row],[Breakdowns]],"")</f>
        <v>1</v>
      </c>
      <c r="Y84" s="44">
        <f>IFERROR(IF(Production[[#This Row],[Actual Run Time (Hrs)]]="","",Production[[#This Row],[Actual Run Time (Hrs)]]/(Production[[#This Row],[Available time (Hrs)]]-Production[[#This Row],[Planned downtime (Hrs)]])),"")</f>
        <v>0.8571428571428571</v>
      </c>
      <c r="Z84" s="47">
        <f>IFERROR((IF(Production[[#This Row],[Ok Quantity]]="","",Production[[#This Row],[Ok Quantity]]+Production[[#This Row],[Defect Quantity]])/Production[[#This Row],[Target Quantity]]),"")</f>
        <v>0.82833333333333337</v>
      </c>
      <c r="AA84" s="47">
        <f>IFERROR(Production[[#This Row],[Ok Quantity]]/(Production[[#This Row],[Ok Quantity]]+Production[[#This Row],[Defect Quantity]]),"")</f>
        <v>0.82092555331991957</v>
      </c>
      <c r="AB84" s="44">
        <f>IFERROR(Production[[#This Row],[Quality %]]*Production[[#This Row],[Performance %]]*Production[[#This Row],[Availability %]],"")</f>
        <v>0.58285714285714285</v>
      </c>
    </row>
    <row r="85" spans="1:28" x14ac:dyDescent="0.25">
      <c r="A85" s="91" t="str">
        <f t="shared" si="2"/>
        <v/>
      </c>
      <c r="B85" s="26">
        <v>43776</v>
      </c>
      <c r="C85" s="28">
        <v>1</v>
      </c>
      <c r="D85" s="9" t="s">
        <v>27</v>
      </c>
      <c r="E85" s="9" t="s">
        <v>24</v>
      </c>
      <c r="F85" s="31">
        <v>6</v>
      </c>
      <c r="G85" s="33">
        <f>IFERROR(VLOOKUP(Production[[#This Row],[Shift]],Database!G:H,2,0),"")</f>
        <v>8</v>
      </c>
      <c r="H85" s="31">
        <v>1</v>
      </c>
      <c r="I85" s="33">
        <f>IFERROR(Production[[#This Row],[Available time (Hrs)]]-Production[[#This Row],[Planned downtime (Hrs)]],"")</f>
        <v>7</v>
      </c>
      <c r="J85" s="33">
        <f>IF(Production[[#This Row],[Available time (Hrs)]]="","",Production[[#This Row],[Available time (Hrs)]]-Production[[#This Row],[Actual Run Time (Hrs)]]-Production[[#This Row],[Planned downtime (Hrs)]])</f>
        <v>1</v>
      </c>
      <c r="K85" s="9" t="s">
        <v>36</v>
      </c>
      <c r="L85" s="41">
        <f>IFERROR(Production[[#This Row],[UPH]]*(Production[[#This Row],[Available time (Hrs)]]-Production[[#This Row],[Planned downtime (Hrs)]]),"")</f>
        <v>663.1578947368422</v>
      </c>
      <c r="M85" s="42">
        <v>416</v>
      </c>
      <c r="N85" s="42">
        <v>80</v>
      </c>
      <c r="O85" s="43">
        <v>1</v>
      </c>
      <c r="P85" s="44">
        <f>IFERROR(Production[[#This Row],[Defect Quantity]]/(Production[[#This Row],[Defect Quantity]]+Production[[#This Row],[Ok Quantity]]),"")</f>
        <v>0.16129032258064516</v>
      </c>
      <c r="Q85" s="44">
        <f>IFERROR(IF(Production[[#This Row],[Ok Quantity]]="","",Production[[#This Row],[Ok Quantity]]/Production[[#This Row],[Target Quantity]]),"")</f>
        <v>0.62730158730158725</v>
      </c>
      <c r="R85" s="41">
        <f>IFERROR(VLOOKUP(Production[[#This Row],[Product]],Database!B:E,4,0)*Production[[#This Row],[Defect Quantity]],"")</f>
        <v>3360</v>
      </c>
      <c r="S85" s="41">
        <f>IFERROR(VLOOKUP(Production[[#This Row],[Line]],Database!L:M,2,0)*(Production[[#This Row],[Lose Time (Hrs)]]),"")</f>
        <v>1000</v>
      </c>
      <c r="T85" s="41">
        <f>IFERROR(Production[[#This Row],[Lose Time Cost]]+Production[[#This Row],[Defect Cost]],"")</f>
        <v>4360</v>
      </c>
      <c r="U85" s="45">
        <f>IFERROR(3600/VLOOKUP(Production[[#This Row],[Product]],Database!B:E,2,0),"")</f>
        <v>94.736842105263165</v>
      </c>
      <c r="V85" s="45">
        <f>IFERROR(Production[[#This Row],[UPH]]/VLOOKUP(Production[[#This Row],[Product]],Database!B:E,3,0),"")</f>
        <v>47.368421052631582</v>
      </c>
      <c r="W85" s="46">
        <f>IFERROR(Production[[#This Row],[Actual Run Time (Hrs)]]/Production[[#This Row],[Breakdowns]],"")</f>
        <v>6</v>
      </c>
      <c r="X85" s="46">
        <f>IFERROR(Production[[#This Row],[Lose Time (Hrs)]]/Production[[#This Row],[Breakdowns]],"")</f>
        <v>1</v>
      </c>
      <c r="Y85" s="44">
        <f>IFERROR(IF(Production[[#This Row],[Actual Run Time (Hrs)]]="","",Production[[#This Row],[Actual Run Time (Hrs)]]/(Production[[#This Row],[Available time (Hrs)]]-Production[[#This Row],[Planned downtime (Hrs)]])),"")</f>
        <v>0.8571428571428571</v>
      </c>
      <c r="Z85" s="47">
        <f>IFERROR((IF(Production[[#This Row],[Ok Quantity]]="","",Production[[#This Row],[Ok Quantity]]+Production[[#This Row],[Defect Quantity]])/Production[[#This Row],[Target Quantity]]),"")</f>
        <v>0.74793650793650779</v>
      </c>
      <c r="AA85" s="47">
        <f>IFERROR(Production[[#This Row],[Ok Quantity]]/(Production[[#This Row],[Ok Quantity]]+Production[[#This Row],[Defect Quantity]]),"")</f>
        <v>0.83870967741935487</v>
      </c>
      <c r="AB85" s="44">
        <f>IFERROR(Production[[#This Row],[Quality %]]*Production[[#This Row],[Performance %]]*Production[[#This Row],[Availability %]],"")</f>
        <v>0.53768707482993194</v>
      </c>
    </row>
    <row r="86" spans="1:28" x14ac:dyDescent="0.25">
      <c r="A86" s="91" t="str">
        <f t="shared" si="2"/>
        <v/>
      </c>
      <c r="B86" s="26">
        <v>42268</v>
      </c>
      <c r="C86" s="28">
        <v>1</v>
      </c>
      <c r="D86" s="9" t="s">
        <v>28</v>
      </c>
      <c r="E86" s="9" t="s">
        <v>22</v>
      </c>
      <c r="F86" s="31">
        <v>7</v>
      </c>
      <c r="G86" s="33">
        <f>IFERROR(VLOOKUP(Production[[#This Row],[Shift]],Database!G:H,2,0),"")</f>
        <v>8</v>
      </c>
      <c r="H86" s="31">
        <v>1</v>
      </c>
      <c r="I86" s="33">
        <f>IFERROR(Production[[#This Row],[Available time (Hrs)]]-Production[[#This Row],[Planned downtime (Hrs)]],"")</f>
        <v>7</v>
      </c>
      <c r="J86" s="33">
        <f>IF(Production[[#This Row],[Available time (Hrs)]]="","",Production[[#This Row],[Available time (Hrs)]]-Production[[#This Row],[Actual Run Time (Hrs)]]-Production[[#This Row],[Planned downtime (Hrs)]])</f>
        <v>0</v>
      </c>
      <c r="L86" s="41">
        <f>IFERROR(Production[[#This Row],[UPH]]*(Production[[#This Row],[Available time (Hrs)]]-Production[[#This Row],[Planned downtime (Hrs)]]),"")</f>
        <v>681.08108108108104</v>
      </c>
      <c r="M86" s="42">
        <v>414</v>
      </c>
      <c r="N86" s="42">
        <v>70</v>
      </c>
      <c r="O86" s="43">
        <v>0</v>
      </c>
      <c r="P86" s="44">
        <f>IFERROR(Production[[#This Row],[Defect Quantity]]/(Production[[#This Row],[Defect Quantity]]+Production[[#This Row],[Ok Quantity]]),"")</f>
        <v>0.14462809917355371</v>
      </c>
      <c r="Q86" s="44">
        <f>IFERROR(IF(Production[[#This Row],[Ok Quantity]]="","",Production[[#This Row],[Ok Quantity]]/Production[[#This Row],[Target Quantity]]),"")</f>
        <v>0.60785714285714287</v>
      </c>
      <c r="R86" s="41">
        <f>IFERROR(VLOOKUP(Production[[#This Row],[Product]],Database!B:E,4,0)*Production[[#This Row],[Defect Quantity]],"")</f>
        <v>3850</v>
      </c>
      <c r="S86" s="41">
        <f>IFERROR(VLOOKUP(Production[[#This Row],[Line]],Database!L:M,2,0)*(Production[[#This Row],[Lose Time (Hrs)]]),"")</f>
        <v>0</v>
      </c>
      <c r="T86" s="41">
        <f>IFERROR(Production[[#This Row],[Lose Time Cost]]+Production[[#This Row],[Defect Cost]],"")</f>
        <v>3850</v>
      </c>
      <c r="U86" s="45">
        <f>IFERROR(3600/VLOOKUP(Production[[#This Row],[Product]],Database!B:E,2,0),"")</f>
        <v>97.297297297297291</v>
      </c>
      <c r="V86" s="45">
        <f>IFERROR(Production[[#This Row],[UPH]]/VLOOKUP(Production[[#This Row],[Product]],Database!B:E,3,0),"")</f>
        <v>32.432432432432428</v>
      </c>
      <c r="W86" s="46" t="str">
        <f>IFERROR(Production[[#This Row],[Actual Run Time (Hrs)]]/Production[[#This Row],[Breakdowns]],"")</f>
        <v/>
      </c>
      <c r="X86" s="46" t="str">
        <f>IFERROR(Production[[#This Row],[Lose Time (Hrs)]]/Production[[#This Row],[Breakdowns]],"")</f>
        <v/>
      </c>
      <c r="Y86" s="44">
        <f>IFERROR(IF(Production[[#This Row],[Actual Run Time (Hrs)]]="","",Production[[#This Row],[Actual Run Time (Hrs)]]/(Production[[#This Row],[Available time (Hrs)]]-Production[[#This Row],[Planned downtime (Hrs)]])),"")</f>
        <v>1</v>
      </c>
      <c r="Z86" s="47">
        <f>IFERROR((IF(Production[[#This Row],[Ok Quantity]]="","",Production[[#This Row],[Ok Quantity]]+Production[[#This Row],[Defect Quantity]])/Production[[#This Row],[Target Quantity]]),"")</f>
        <v>0.71063492063492073</v>
      </c>
      <c r="AA86" s="47">
        <f>IFERROR(Production[[#This Row],[Ok Quantity]]/(Production[[#This Row],[Ok Quantity]]+Production[[#This Row],[Defect Quantity]]),"")</f>
        <v>0.85537190082644632</v>
      </c>
      <c r="AB86" s="44">
        <f>IFERROR(Production[[#This Row],[Quality %]]*Production[[#This Row],[Performance %]]*Production[[#This Row],[Availability %]],"")</f>
        <v>0.60785714285714298</v>
      </c>
    </row>
    <row r="87" spans="1:28" x14ac:dyDescent="0.25">
      <c r="A87" s="91" t="str">
        <f t="shared" si="2"/>
        <v/>
      </c>
      <c r="B87" s="26">
        <v>42501</v>
      </c>
      <c r="C87" s="28">
        <v>2</v>
      </c>
      <c r="D87" s="9" t="s">
        <v>51</v>
      </c>
      <c r="E87" s="9" t="s">
        <v>21</v>
      </c>
      <c r="F87" s="31">
        <v>4</v>
      </c>
      <c r="G87" s="33">
        <f>IFERROR(VLOOKUP(Production[[#This Row],[Shift]],Database!G:H,2,0),"")</f>
        <v>8</v>
      </c>
      <c r="H87" s="31">
        <v>1</v>
      </c>
      <c r="I87" s="33">
        <f>IFERROR(Production[[#This Row],[Available time (Hrs)]]-Production[[#This Row],[Planned downtime (Hrs)]],"")</f>
        <v>7</v>
      </c>
      <c r="J87" s="33">
        <f>IF(Production[[#This Row],[Available time (Hrs)]]="","",Production[[#This Row],[Available time (Hrs)]]-Production[[#This Row],[Actual Run Time (Hrs)]]-Production[[#This Row],[Planned downtime (Hrs)]])</f>
        <v>3</v>
      </c>
      <c r="K87" s="9" t="s">
        <v>33</v>
      </c>
      <c r="L87" s="41">
        <f>IFERROR(Production[[#This Row],[UPH]]*(Production[[#This Row],[Available time (Hrs)]]-Production[[#This Row],[Planned downtime (Hrs)]]),"")</f>
        <v>630</v>
      </c>
      <c r="M87" s="42">
        <v>454</v>
      </c>
      <c r="N87" s="42">
        <v>64</v>
      </c>
      <c r="O87" s="43">
        <v>1</v>
      </c>
      <c r="P87" s="44">
        <f>IFERROR(Production[[#This Row],[Defect Quantity]]/(Production[[#This Row],[Defect Quantity]]+Production[[#This Row],[Ok Quantity]]),"")</f>
        <v>0.12355212355212356</v>
      </c>
      <c r="Q87" s="44">
        <f>IFERROR(IF(Production[[#This Row],[Ok Quantity]]="","",Production[[#This Row],[Ok Quantity]]/Production[[#This Row],[Target Quantity]]),"")</f>
        <v>0.72063492063492063</v>
      </c>
      <c r="R87" s="41">
        <f>IFERROR(VLOOKUP(Production[[#This Row],[Product]],Database!B:E,4,0)*Production[[#This Row],[Defect Quantity]],"")</f>
        <v>2560</v>
      </c>
      <c r="S87" s="41">
        <f>IFERROR(VLOOKUP(Production[[#This Row],[Line]],Database!L:M,2,0)*(Production[[#This Row],[Lose Time (Hrs)]]),"")</f>
        <v>3900</v>
      </c>
      <c r="T87" s="41">
        <f>IFERROR(Production[[#This Row],[Lose Time Cost]]+Production[[#This Row],[Defect Cost]],"")</f>
        <v>6460</v>
      </c>
      <c r="U87" s="45">
        <f>IFERROR(3600/VLOOKUP(Production[[#This Row],[Product]],Database!B:E,2,0),"")</f>
        <v>90</v>
      </c>
      <c r="V87" s="45">
        <f>IFERROR(Production[[#This Row],[UPH]]/VLOOKUP(Production[[#This Row],[Product]],Database!B:E,3,0),"")</f>
        <v>30</v>
      </c>
      <c r="W87" s="46">
        <f>IFERROR(Production[[#This Row],[Actual Run Time (Hrs)]]/Production[[#This Row],[Breakdowns]],"")</f>
        <v>4</v>
      </c>
      <c r="X87" s="46">
        <f>IFERROR(Production[[#This Row],[Lose Time (Hrs)]]/Production[[#This Row],[Breakdowns]],"")</f>
        <v>3</v>
      </c>
      <c r="Y87" s="44">
        <f>IFERROR(IF(Production[[#This Row],[Actual Run Time (Hrs)]]="","",Production[[#This Row],[Actual Run Time (Hrs)]]/(Production[[#This Row],[Available time (Hrs)]]-Production[[#This Row],[Planned downtime (Hrs)]])),"")</f>
        <v>0.5714285714285714</v>
      </c>
      <c r="Z87" s="47">
        <f>IFERROR((IF(Production[[#This Row],[Ok Quantity]]="","",Production[[#This Row],[Ok Quantity]]+Production[[#This Row],[Defect Quantity]])/Production[[#This Row],[Target Quantity]]),"")</f>
        <v>0.82222222222222219</v>
      </c>
      <c r="AA87" s="47">
        <f>IFERROR(Production[[#This Row],[Ok Quantity]]/(Production[[#This Row],[Ok Quantity]]+Production[[#This Row],[Defect Quantity]]),"")</f>
        <v>0.87644787644787647</v>
      </c>
      <c r="AB87" s="44">
        <f>IFERROR(Production[[#This Row],[Quality %]]*Production[[#This Row],[Performance %]]*Production[[#This Row],[Availability %]],"")</f>
        <v>0.41179138321995462</v>
      </c>
    </row>
    <row r="88" spans="1:28" x14ac:dyDescent="0.25">
      <c r="A88" s="91" t="str">
        <f t="shared" si="2"/>
        <v/>
      </c>
      <c r="B88" s="26">
        <v>42642</v>
      </c>
      <c r="C88" s="28">
        <v>1</v>
      </c>
      <c r="D88" s="9" t="s">
        <v>29</v>
      </c>
      <c r="E88" s="9" t="s">
        <v>21</v>
      </c>
      <c r="F88" s="31">
        <v>7</v>
      </c>
      <c r="G88" s="33">
        <f>IFERROR(VLOOKUP(Production[[#This Row],[Shift]],Database!G:H,2,0),"")</f>
        <v>8</v>
      </c>
      <c r="H88" s="31">
        <v>1</v>
      </c>
      <c r="I88" s="33">
        <f>IFERROR(Production[[#This Row],[Available time (Hrs)]]-Production[[#This Row],[Planned downtime (Hrs)]],"")</f>
        <v>7</v>
      </c>
      <c r="J88" s="33">
        <f>IF(Production[[#This Row],[Available time (Hrs)]]="","",Production[[#This Row],[Available time (Hrs)]]-Production[[#This Row],[Actual Run Time (Hrs)]]-Production[[#This Row],[Planned downtime (Hrs)]])</f>
        <v>0</v>
      </c>
      <c r="K88" s="9" t="s">
        <v>36</v>
      </c>
      <c r="L88" s="41">
        <f>IFERROR(Production[[#This Row],[UPH]]*(Production[[#This Row],[Available time (Hrs)]]-Production[[#This Row],[Planned downtime (Hrs)]]),"")</f>
        <v>630</v>
      </c>
      <c r="M88" s="42">
        <v>496</v>
      </c>
      <c r="N88" s="42">
        <v>57</v>
      </c>
      <c r="O88" s="43">
        <v>1</v>
      </c>
      <c r="P88" s="44">
        <f>IFERROR(Production[[#This Row],[Defect Quantity]]/(Production[[#This Row],[Defect Quantity]]+Production[[#This Row],[Ok Quantity]]),"")</f>
        <v>0.10307414104882459</v>
      </c>
      <c r="Q88" s="44">
        <f>IFERROR(IF(Production[[#This Row],[Ok Quantity]]="","",Production[[#This Row],[Ok Quantity]]/Production[[#This Row],[Target Quantity]]),"")</f>
        <v>0.78730158730158728</v>
      </c>
      <c r="R88" s="41">
        <f>IFERROR(VLOOKUP(Production[[#This Row],[Product]],Database!B:E,4,0)*Production[[#This Row],[Defect Quantity]],"")</f>
        <v>2280</v>
      </c>
      <c r="S88" s="41">
        <f>IFERROR(VLOOKUP(Production[[#This Row],[Line]],Database!L:M,2,0)*(Production[[#This Row],[Lose Time (Hrs)]]),"")</f>
        <v>0</v>
      </c>
      <c r="T88" s="41">
        <f>IFERROR(Production[[#This Row],[Lose Time Cost]]+Production[[#This Row],[Defect Cost]],"")</f>
        <v>2280</v>
      </c>
      <c r="U88" s="45">
        <f>IFERROR(3600/VLOOKUP(Production[[#This Row],[Product]],Database!B:E,2,0),"")</f>
        <v>90</v>
      </c>
      <c r="V88" s="45">
        <f>IFERROR(Production[[#This Row],[UPH]]/VLOOKUP(Production[[#This Row],[Product]],Database!B:E,3,0),"")</f>
        <v>30</v>
      </c>
      <c r="W88" s="46">
        <f>IFERROR(Production[[#This Row],[Actual Run Time (Hrs)]]/Production[[#This Row],[Breakdowns]],"")</f>
        <v>7</v>
      </c>
      <c r="X88" s="46">
        <f>IFERROR(Production[[#This Row],[Lose Time (Hrs)]]/Production[[#This Row],[Breakdowns]],"")</f>
        <v>0</v>
      </c>
      <c r="Y88" s="44">
        <f>IFERROR(IF(Production[[#This Row],[Actual Run Time (Hrs)]]="","",Production[[#This Row],[Actual Run Time (Hrs)]]/(Production[[#This Row],[Available time (Hrs)]]-Production[[#This Row],[Planned downtime (Hrs)]])),"")</f>
        <v>1</v>
      </c>
      <c r="Z88" s="47">
        <f>IFERROR((IF(Production[[#This Row],[Ok Quantity]]="","",Production[[#This Row],[Ok Quantity]]+Production[[#This Row],[Defect Quantity]])/Production[[#This Row],[Target Quantity]]),"")</f>
        <v>0.87777777777777777</v>
      </c>
      <c r="AA88" s="47">
        <f>IFERROR(Production[[#This Row],[Ok Quantity]]/(Production[[#This Row],[Ok Quantity]]+Production[[#This Row],[Defect Quantity]]),"")</f>
        <v>0.89692585895117538</v>
      </c>
      <c r="AB88" s="44">
        <f>IFERROR(Production[[#This Row],[Quality %]]*Production[[#This Row],[Performance %]]*Production[[#This Row],[Availability %]],"")</f>
        <v>0.78730158730158728</v>
      </c>
    </row>
    <row r="89" spans="1:28" x14ac:dyDescent="0.25">
      <c r="A89" s="91" t="str">
        <f t="shared" si="2"/>
        <v/>
      </c>
      <c r="B89" s="26">
        <v>42229</v>
      </c>
      <c r="C89" s="28">
        <v>2</v>
      </c>
      <c r="D89" s="9" t="s">
        <v>50</v>
      </c>
      <c r="E89" s="9" t="s">
        <v>24</v>
      </c>
      <c r="F89" s="31">
        <v>7</v>
      </c>
      <c r="G89" s="33">
        <f>IFERROR(VLOOKUP(Production[[#This Row],[Shift]],Database!G:H,2,0),"")</f>
        <v>8</v>
      </c>
      <c r="H89" s="31">
        <v>1</v>
      </c>
      <c r="I89" s="33">
        <f>IFERROR(Production[[#This Row],[Available time (Hrs)]]-Production[[#This Row],[Planned downtime (Hrs)]],"")</f>
        <v>7</v>
      </c>
      <c r="J89" s="33">
        <f>IF(Production[[#This Row],[Available time (Hrs)]]="","",Production[[#This Row],[Available time (Hrs)]]-Production[[#This Row],[Actual Run Time (Hrs)]]-Production[[#This Row],[Planned downtime (Hrs)]])</f>
        <v>0</v>
      </c>
      <c r="L89" s="41">
        <f>IFERROR(Production[[#This Row],[UPH]]*(Production[[#This Row],[Available time (Hrs)]]-Production[[#This Row],[Planned downtime (Hrs)]]),"")</f>
        <v>663.1578947368422</v>
      </c>
      <c r="M89" s="42">
        <v>490</v>
      </c>
      <c r="N89" s="42">
        <v>52</v>
      </c>
      <c r="O89" s="43">
        <v>0</v>
      </c>
      <c r="P89" s="44">
        <f>IFERROR(Production[[#This Row],[Defect Quantity]]/(Production[[#This Row],[Defect Quantity]]+Production[[#This Row],[Ok Quantity]]),"")</f>
        <v>9.5940959409594101E-2</v>
      </c>
      <c r="Q89" s="44">
        <f>IFERROR(IF(Production[[#This Row],[Ok Quantity]]="","",Production[[#This Row],[Ok Quantity]]/Production[[#This Row],[Target Quantity]]),"")</f>
        <v>0.73888888888888882</v>
      </c>
      <c r="R89" s="41">
        <f>IFERROR(VLOOKUP(Production[[#This Row],[Product]],Database!B:E,4,0)*Production[[#This Row],[Defect Quantity]],"")</f>
        <v>2184</v>
      </c>
      <c r="S89" s="41">
        <f>IFERROR(VLOOKUP(Production[[#This Row],[Line]],Database!L:M,2,0)*(Production[[#This Row],[Lose Time (Hrs)]]),"")</f>
        <v>0</v>
      </c>
      <c r="T89" s="41">
        <f>IFERROR(Production[[#This Row],[Lose Time Cost]]+Production[[#This Row],[Defect Cost]],"")</f>
        <v>2184</v>
      </c>
      <c r="U89" s="45">
        <f>IFERROR(3600/VLOOKUP(Production[[#This Row],[Product]],Database!B:E,2,0),"")</f>
        <v>94.736842105263165</v>
      </c>
      <c r="V89" s="45">
        <f>IFERROR(Production[[#This Row],[UPH]]/VLOOKUP(Production[[#This Row],[Product]],Database!B:E,3,0),"")</f>
        <v>47.368421052631582</v>
      </c>
      <c r="W89" s="46" t="str">
        <f>IFERROR(Production[[#This Row],[Actual Run Time (Hrs)]]/Production[[#This Row],[Breakdowns]],"")</f>
        <v/>
      </c>
      <c r="X89" s="46" t="str">
        <f>IFERROR(Production[[#This Row],[Lose Time (Hrs)]]/Production[[#This Row],[Breakdowns]],"")</f>
        <v/>
      </c>
      <c r="Y89" s="44">
        <f>IFERROR(IF(Production[[#This Row],[Actual Run Time (Hrs)]]="","",Production[[#This Row],[Actual Run Time (Hrs)]]/(Production[[#This Row],[Available time (Hrs)]]-Production[[#This Row],[Planned downtime (Hrs)]])),"")</f>
        <v>1</v>
      </c>
      <c r="Z89" s="47">
        <f>IFERROR((IF(Production[[#This Row],[Ok Quantity]]="","",Production[[#This Row],[Ok Quantity]]+Production[[#This Row],[Defect Quantity]])/Production[[#This Row],[Target Quantity]]),"")</f>
        <v>0.8173015873015872</v>
      </c>
      <c r="AA89" s="47">
        <f>IFERROR(Production[[#This Row],[Ok Quantity]]/(Production[[#This Row],[Ok Quantity]]+Production[[#This Row],[Defect Quantity]]),"")</f>
        <v>0.90405904059040587</v>
      </c>
      <c r="AB89" s="44">
        <f>IFERROR(Production[[#This Row],[Quality %]]*Production[[#This Row],[Performance %]]*Production[[#This Row],[Availability %]],"")</f>
        <v>0.73888888888888882</v>
      </c>
    </row>
    <row r="90" spans="1:28" x14ac:dyDescent="0.25">
      <c r="A90" s="91" t="str">
        <f t="shared" si="2"/>
        <v/>
      </c>
      <c r="B90" s="26">
        <v>42114</v>
      </c>
      <c r="C90" s="28">
        <v>2</v>
      </c>
      <c r="D90" s="9" t="s">
        <v>28</v>
      </c>
      <c r="E90" s="9" t="s">
        <v>24</v>
      </c>
      <c r="F90" s="31">
        <v>7</v>
      </c>
      <c r="G90" s="33">
        <f>IFERROR(VLOOKUP(Production[[#This Row],[Shift]],Database!G:H,2,0),"")</f>
        <v>8</v>
      </c>
      <c r="H90" s="31">
        <v>1</v>
      </c>
      <c r="I90" s="33">
        <f>IFERROR(Production[[#This Row],[Available time (Hrs)]]-Production[[#This Row],[Planned downtime (Hrs)]],"")</f>
        <v>7</v>
      </c>
      <c r="J90" s="33">
        <f>IF(Production[[#This Row],[Available time (Hrs)]]="","",Production[[#This Row],[Available time (Hrs)]]-Production[[#This Row],[Actual Run Time (Hrs)]]-Production[[#This Row],[Planned downtime (Hrs)]])</f>
        <v>0</v>
      </c>
      <c r="L90" s="41">
        <f>IFERROR(Production[[#This Row],[UPH]]*(Production[[#This Row],[Available time (Hrs)]]-Production[[#This Row],[Planned downtime (Hrs)]]),"")</f>
        <v>663.1578947368422</v>
      </c>
      <c r="M90" s="42">
        <v>479</v>
      </c>
      <c r="N90" s="42">
        <v>83</v>
      </c>
      <c r="O90" s="43">
        <v>0</v>
      </c>
      <c r="P90" s="44">
        <f>IFERROR(Production[[#This Row],[Defect Quantity]]/(Production[[#This Row],[Defect Quantity]]+Production[[#This Row],[Ok Quantity]]),"")</f>
        <v>0.14768683274021352</v>
      </c>
      <c r="Q90" s="44">
        <f>IFERROR(IF(Production[[#This Row],[Ok Quantity]]="","",Production[[#This Row],[Ok Quantity]]/Production[[#This Row],[Target Quantity]]),"")</f>
        <v>0.72230158730158722</v>
      </c>
      <c r="R90" s="41">
        <f>IFERROR(VLOOKUP(Production[[#This Row],[Product]],Database!B:E,4,0)*Production[[#This Row],[Defect Quantity]],"")</f>
        <v>3486</v>
      </c>
      <c r="S90" s="41">
        <f>IFERROR(VLOOKUP(Production[[#This Row],[Line]],Database!L:M,2,0)*(Production[[#This Row],[Lose Time (Hrs)]]),"")</f>
        <v>0</v>
      </c>
      <c r="T90" s="41">
        <f>IFERROR(Production[[#This Row],[Lose Time Cost]]+Production[[#This Row],[Defect Cost]],"")</f>
        <v>3486</v>
      </c>
      <c r="U90" s="45">
        <f>IFERROR(3600/VLOOKUP(Production[[#This Row],[Product]],Database!B:E,2,0),"")</f>
        <v>94.736842105263165</v>
      </c>
      <c r="V90" s="45">
        <f>IFERROR(Production[[#This Row],[UPH]]/VLOOKUP(Production[[#This Row],[Product]],Database!B:E,3,0),"")</f>
        <v>47.368421052631582</v>
      </c>
      <c r="W90" s="46" t="str">
        <f>IFERROR(Production[[#This Row],[Actual Run Time (Hrs)]]/Production[[#This Row],[Breakdowns]],"")</f>
        <v/>
      </c>
      <c r="X90" s="46" t="str">
        <f>IFERROR(Production[[#This Row],[Lose Time (Hrs)]]/Production[[#This Row],[Breakdowns]],"")</f>
        <v/>
      </c>
      <c r="Y90" s="44">
        <f>IFERROR(IF(Production[[#This Row],[Actual Run Time (Hrs)]]="","",Production[[#This Row],[Actual Run Time (Hrs)]]/(Production[[#This Row],[Available time (Hrs)]]-Production[[#This Row],[Planned downtime (Hrs)]])),"")</f>
        <v>1</v>
      </c>
      <c r="Z90" s="47">
        <f>IFERROR((IF(Production[[#This Row],[Ok Quantity]]="","",Production[[#This Row],[Ok Quantity]]+Production[[#This Row],[Defect Quantity]])/Production[[#This Row],[Target Quantity]]),"")</f>
        <v>0.84746031746031736</v>
      </c>
      <c r="AA90" s="47">
        <f>IFERROR(Production[[#This Row],[Ok Quantity]]/(Production[[#This Row],[Ok Quantity]]+Production[[#This Row],[Defect Quantity]]),"")</f>
        <v>0.85231316725978645</v>
      </c>
      <c r="AB90" s="44">
        <f>IFERROR(Production[[#This Row],[Quality %]]*Production[[#This Row],[Performance %]]*Production[[#This Row],[Availability %]],"")</f>
        <v>0.72230158730158722</v>
      </c>
    </row>
    <row r="91" spans="1:28" x14ac:dyDescent="0.25">
      <c r="A91" s="91" t="str">
        <f t="shared" si="2"/>
        <v/>
      </c>
      <c r="B91" s="26">
        <v>43386</v>
      </c>
      <c r="C91" s="28">
        <v>3</v>
      </c>
      <c r="D91" s="9" t="s">
        <v>51</v>
      </c>
      <c r="E91" s="9" t="s">
        <v>23</v>
      </c>
      <c r="F91" s="31">
        <v>7</v>
      </c>
      <c r="G91" s="33">
        <f>IFERROR(VLOOKUP(Production[[#This Row],[Shift]],Database!G:H,2,0),"")</f>
        <v>8</v>
      </c>
      <c r="H91" s="31">
        <v>1</v>
      </c>
      <c r="I91" s="33">
        <f>IFERROR(Production[[#This Row],[Available time (Hrs)]]-Production[[#This Row],[Planned downtime (Hrs)]],"")</f>
        <v>7</v>
      </c>
      <c r="J91" s="33">
        <f>IF(Production[[#This Row],[Available time (Hrs)]]="","",Production[[#This Row],[Available time (Hrs)]]-Production[[#This Row],[Actual Run Time (Hrs)]]-Production[[#This Row],[Planned downtime (Hrs)]])</f>
        <v>0</v>
      </c>
      <c r="L91" s="41">
        <f>IFERROR(Production[[#This Row],[UPH]]*(Production[[#This Row],[Available time (Hrs)]]-Production[[#This Row],[Planned downtime (Hrs)]]),"")</f>
        <v>600</v>
      </c>
      <c r="M91" s="42">
        <v>453</v>
      </c>
      <c r="N91" s="42">
        <v>82</v>
      </c>
      <c r="O91" s="43">
        <v>0</v>
      </c>
      <c r="P91" s="44">
        <f>IFERROR(Production[[#This Row],[Defect Quantity]]/(Production[[#This Row],[Defect Quantity]]+Production[[#This Row],[Ok Quantity]]),"")</f>
        <v>0.15327102803738318</v>
      </c>
      <c r="Q91" s="44">
        <f>IFERROR(IF(Production[[#This Row],[Ok Quantity]]="","",Production[[#This Row],[Ok Quantity]]/Production[[#This Row],[Target Quantity]]),"")</f>
        <v>0.755</v>
      </c>
      <c r="R91" s="41">
        <f>IFERROR(VLOOKUP(Production[[#This Row],[Product]],Database!B:E,4,0)*Production[[#This Row],[Defect Quantity]],"")</f>
        <v>2870</v>
      </c>
      <c r="S91" s="41">
        <f>IFERROR(VLOOKUP(Production[[#This Row],[Line]],Database!L:M,2,0)*(Production[[#This Row],[Lose Time (Hrs)]]),"")</f>
        <v>0</v>
      </c>
      <c r="T91" s="41">
        <f>IFERROR(Production[[#This Row],[Lose Time Cost]]+Production[[#This Row],[Defect Cost]],"")</f>
        <v>2870</v>
      </c>
      <c r="U91" s="45">
        <f>IFERROR(3600/VLOOKUP(Production[[#This Row],[Product]],Database!B:E,2,0),"")</f>
        <v>85.714285714285708</v>
      </c>
      <c r="V91" s="45">
        <f>IFERROR(Production[[#This Row],[UPH]]/VLOOKUP(Production[[#This Row],[Product]],Database!B:E,3,0),"")</f>
        <v>17.142857142857142</v>
      </c>
      <c r="W91" s="46" t="str">
        <f>IFERROR(Production[[#This Row],[Actual Run Time (Hrs)]]/Production[[#This Row],[Breakdowns]],"")</f>
        <v/>
      </c>
      <c r="X91" s="46" t="str">
        <f>IFERROR(Production[[#This Row],[Lose Time (Hrs)]]/Production[[#This Row],[Breakdowns]],"")</f>
        <v/>
      </c>
      <c r="Y91" s="44">
        <f>IFERROR(IF(Production[[#This Row],[Actual Run Time (Hrs)]]="","",Production[[#This Row],[Actual Run Time (Hrs)]]/(Production[[#This Row],[Available time (Hrs)]]-Production[[#This Row],[Planned downtime (Hrs)]])),"")</f>
        <v>1</v>
      </c>
      <c r="Z91" s="47">
        <f>IFERROR((IF(Production[[#This Row],[Ok Quantity]]="","",Production[[#This Row],[Ok Quantity]]+Production[[#This Row],[Defect Quantity]])/Production[[#This Row],[Target Quantity]]),"")</f>
        <v>0.89166666666666672</v>
      </c>
      <c r="AA91" s="47">
        <f>IFERROR(Production[[#This Row],[Ok Quantity]]/(Production[[#This Row],[Ok Quantity]]+Production[[#This Row],[Defect Quantity]]),"")</f>
        <v>0.84672897196261687</v>
      </c>
      <c r="AB91" s="44">
        <f>IFERROR(Production[[#This Row],[Quality %]]*Production[[#This Row],[Performance %]]*Production[[#This Row],[Availability %]],"")</f>
        <v>0.75500000000000012</v>
      </c>
    </row>
    <row r="92" spans="1:28" x14ac:dyDescent="0.25">
      <c r="A92" s="91" t="str">
        <f t="shared" si="2"/>
        <v/>
      </c>
      <c r="B92" s="26">
        <v>43140</v>
      </c>
      <c r="C92" s="28">
        <v>2</v>
      </c>
      <c r="D92" s="9" t="s">
        <v>29</v>
      </c>
      <c r="E92" s="9" t="s">
        <v>19</v>
      </c>
      <c r="F92" s="31">
        <v>7</v>
      </c>
      <c r="G92" s="33">
        <f>IFERROR(VLOOKUP(Production[[#This Row],[Shift]],Database!G:H,2,0),"")</f>
        <v>8</v>
      </c>
      <c r="H92" s="31">
        <v>1</v>
      </c>
      <c r="I92" s="33">
        <f>IFERROR(Production[[#This Row],[Available time (Hrs)]]-Production[[#This Row],[Planned downtime (Hrs)]],"")</f>
        <v>7</v>
      </c>
      <c r="J92" s="33">
        <f>IF(Production[[#This Row],[Available time (Hrs)]]="","",Production[[#This Row],[Available time (Hrs)]]-Production[[#This Row],[Actual Run Time (Hrs)]]-Production[[#This Row],[Planned downtime (Hrs)]])</f>
        <v>0</v>
      </c>
      <c r="L92" s="41">
        <f>IFERROR(Production[[#This Row],[UPH]]*(Production[[#This Row],[Available time (Hrs)]]-Production[[#This Row],[Planned downtime (Hrs)]]),"")</f>
        <v>630</v>
      </c>
      <c r="M92" s="42">
        <v>404</v>
      </c>
      <c r="N92" s="42">
        <v>25</v>
      </c>
      <c r="O92" s="43">
        <v>0</v>
      </c>
      <c r="P92" s="44">
        <f>IFERROR(Production[[#This Row],[Defect Quantity]]/(Production[[#This Row],[Defect Quantity]]+Production[[#This Row],[Ok Quantity]]),"")</f>
        <v>5.8275058275058272E-2</v>
      </c>
      <c r="Q92" s="44">
        <f>IFERROR(IF(Production[[#This Row],[Ok Quantity]]="","",Production[[#This Row],[Ok Quantity]]/Production[[#This Row],[Target Quantity]]),"")</f>
        <v>0.64126984126984132</v>
      </c>
      <c r="R92" s="41">
        <f>IFERROR(VLOOKUP(Production[[#This Row],[Product]],Database!B:E,4,0)*Production[[#This Row],[Defect Quantity]],"")</f>
        <v>1500</v>
      </c>
      <c r="S92" s="41">
        <f>IFERROR(VLOOKUP(Production[[#This Row],[Line]],Database!L:M,2,0)*(Production[[#This Row],[Lose Time (Hrs)]]),"")</f>
        <v>0</v>
      </c>
      <c r="T92" s="41">
        <f>IFERROR(Production[[#This Row],[Lose Time Cost]]+Production[[#This Row],[Defect Cost]],"")</f>
        <v>1500</v>
      </c>
      <c r="U92" s="45">
        <f>IFERROR(3600/VLOOKUP(Production[[#This Row],[Product]],Database!B:E,2,0),"")</f>
        <v>90</v>
      </c>
      <c r="V92" s="45">
        <f>IFERROR(Production[[#This Row],[UPH]]/VLOOKUP(Production[[#This Row],[Product]],Database!B:E,3,0),"")</f>
        <v>22.5</v>
      </c>
      <c r="W92" s="46" t="str">
        <f>IFERROR(Production[[#This Row],[Actual Run Time (Hrs)]]/Production[[#This Row],[Breakdowns]],"")</f>
        <v/>
      </c>
      <c r="X92" s="46" t="str">
        <f>IFERROR(Production[[#This Row],[Lose Time (Hrs)]]/Production[[#This Row],[Breakdowns]],"")</f>
        <v/>
      </c>
      <c r="Y92" s="44">
        <f>IFERROR(IF(Production[[#This Row],[Actual Run Time (Hrs)]]="","",Production[[#This Row],[Actual Run Time (Hrs)]]/(Production[[#This Row],[Available time (Hrs)]]-Production[[#This Row],[Planned downtime (Hrs)]])),"")</f>
        <v>1</v>
      </c>
      <c r="Z92" s="47">
        <f>IFERROR((IF(Production[[#This Row],[Ok Quantity]]="","",Production[[#This Row],[Ok Quantity]]+Production[[#This Row],[Defect Quantity]])/Production[[#This Row],[Target Quantity]]),"")</f>
        <v>0.68095238095238098</v>
      </c>
      <c r="AA92" s="47">
        <f>IFERROR(Production[[#This Row],[Ok Quantity]]/(Production[[#This Row],[Ok Quantity]]+Production[[#This Row],[Defect Quantity]]),"")</f>
        <v>0.9417249417249417</v>
      </c>
      <c r="AB92" s="44">
        <f>IFERROR(Production[[#This Row],[Quality %]]*Production[[#This Row],[Performance %]]*Production[[#This Row],[Availability %]],"")</f>
        <v>0.64126984126984132</v>
      </c>
    </row>
    <row r="93" spans="1:28" x14ac:dyDescent="0.25">
      <c r="A93" s="91" t="str">
        <f t="shared" si="2"/>
        <v/>
      </c>
      <c r="B93" s="26">
        <v>42173</v>
      </c>
      <c r="C93" s="28">
        <v>3</v>
      </c>
      <c r="D93" s="9" t="s">
        <v>50</v>
      </c>
      <c r="E93" s="9" t="s">
        <v>19</v>
      </c>
      <c r="F93" s="31">
        <v>7</v>
      </c>
      <c r="G93" s="33">
        <f>IFERROR(VLOOKUP(Production[[#This Row],[Shift]],Database!G:H,2,0),"")</f>
        <v>8</v>
      </c>
      <c r="H93" s="31">
        <v>1</v>
      </c>
      <c r="I93" s="33">
        <f>IFERROR(Production[[#This Row],[Available time (Hrs)]]-Production[[#This Row],[Planned downtime (Hrs)]],"")</f>
        <v>7</v>
      </c>
      <c r="J93" s="33">
        <f>IF(Production[[#This Row],[Available time (Hrs)]]="","",Production[[#This Row],[Available time (Hrs)]]-Production[[#This Row],[Actual Run Time (Hrs)]]-Production[[#This Row],[Planned downtime (Hrs)]])</f>
        <v>0</v>
      </c>
      <c r="L93" s="41">
        <f>IFERROR(Production[[#This Row],[UPH]]*(Production[[#This Row],[Available time (Hrs)]]-Production[[#This Row],[Planned downtime (Hrs)]]),"")</f>
        <v>630</v>
      </c>
      <c r="M93" s="42">
        <v>457</v>
      </c>
      <c r="N93" s="42">
        <v>65</v>
      </c>
      <c r="O93" s="43">
        <v>0</v>
      </c>
      <c r="P93" s="44">
        <f>IFERROR(Production[[#This Row],[Defect Quantity]]/(Production[[#This Row],[Defect Quantity]]+Production[[#This Row],[Ok Quantity]]),"")</f>
        <v>0.12452107279693486</v>
      </c>
      <c r="Q93" s="44">
        <f>IFERROR(IF(Production[[#This Row],[Ok Quantity]]="","",Production[[#This Row],[Ok Quantity]]/Production[[#This Row],[Target Quantity]]),"")</f>
        <v>0.72539682539682537</v>
      </c>
      <c r="R93" s="41">
        <f>IFERROR(VLOOKUP(Production[[#This Row],[Product]],Database!B:E,4,0)*Production[[#This Row],[Defect Quantity]],"")</f>
        <v>3900</v>
      </c>
      <c r="S93" s="41">
        <f>IFERROR(VLOOKUP(Production[[#This Row],[Line]],Database!L:M,2,0)*(Production[[#This Row],[Lose Time (Hrs)]]),"")</f>
        <v>0</v>
      </c>
      <c r="T93" s="41">
        <f>IFERROR(Production[[#This Row],[Lose Time Cost]]+Production[[#This Row],[Defect Cost]],"")</f>
        <v>3900</v>
      </c>
      <c r="U93" s="45">
        <f>IFERROR(3600/VLOOKUP(Production[[#This Row],[Product]],Database!B:E,2,0),"")</f>
        <v>90</v>
      </c>
      <c r="V93" s="45">
        <f>IFERROR(Production[[#This Row],[UPH]]/VLOOKUP(Production[[#This Row],[Product]],Database!B:E,3,0),"")</f>
        <v>22.5</v>
      </c>
      <c r="W93" s="46" t="str">
        <f>IFERROR(Production[[#This Row],[Actual Run Time (Hrs)]]/Production[[#This Row],[Breakdowns]],"")</f>
        <v/>
      </c>
      <c r="X93" s="46" t="str">
        <f>IFERROR(Production[[#This Row],[Lose Time (Hrs)]]/Production[[#This Row],[Breakdowns]],"")</f>
        <v/>
      </c>
      <c r="Y93" s="44">
        <f>IFERROR(IF(Production[[#This Row],[Actual Run Time (Hrs)]]="","",Production[[#This Row],[Actual Run Time (Hrs)]]/(Production[[#This Row],[Available time (Hrs)]]-Production[[#This Row],[Planned downtime (Hrs)]])),"")</f>
        <v>1</v>
      </c>
      <c r="Z93" s="47">
        <f>IFERROR((IF(Production[[#This Row],[Ok Quantity]]="","",Production[[#This Row],[Ok Quantity]]+Production[[#This Row],[Defect Quantity]])/Production[[#This Row],[Target Quantity]]),"")</f>
        <v>0.82857142857142863</v>
      </c>
      <c r="AA93" s="47">
        <f>IFERROR(Production[[#This Row],[Ok Quantity]]/(Production[[#This Row],[Ok Quantity]]+Production[[#This Row],[Defect Quantity]]),"")</f>
        <v>0.87547892720306508</v>
      </c>
      <c r="AB93" s="44">
        <f>IFERROR(Production[[#This Row],[Quality %]]*Production[[#This Row],[Performance %]]*Production[[#This Row],[Availability %]],"")</f>
        <v>0.72539682539682537</v>
      </c>
    </row>
    <row r="94" spans="1:28" x14ac:dyDescent="0.25">
      <c r="A94" s="91" t="str">
        <f t="shared" si="2"/>
        <v/>
      </c>
      <c r="B94" s="26">
        <v>42858</v>
      </c>
      <c r="C94" s="28">
        <v>2</v>
      </c>
      <c r="D94" s="9" t="s">
        <v>29</v>
      </c>
      <c r="E94" s="9" t="s">
        <v>22</v>
      </c>
      <c r="F94" s="31">
        <v>4</v>
      </c>
      <c r="G94" s="33">
        <f>IFERROR(VLOOKUP(Production[[#This Row],[Shift]],Database!G:H,2,0),"")</f>
        <v>8</v>
      </c>
      <c r="H94" s="31">
        <v>1</v>
      </c>
      <c r="I94" s="33">
        <f>IFERROR(Production[[#This Row],[Available time (Hrs)]]-Production[[#This Row],[Planned downtime (Hrs)]],"")</f>
        <v>7</v>
      </c>
      <c r="J94" s="33">
        <f>IF(Production[[#This Row],[Available time (Hrs)]]="","",Production[[#This Row],[Available time (Hrs)]]-Production[[#This Row],[Actual Run Time (Hrs)]]-Production[[#This Row],[Planned downtime (Hrs)]])</f>
        <v>3</v>
      </c>
      <c r="K94" s="9" t="s">
        <v>37</v>
      </c>
      <c r="L94" s="41">
        <f>IFERROR(Production[[#This Row],[UPH]]*(Production[[#This Row],[Available time (Hrs)]]-Production[[#This Row],[Planned downtime (Hrs)]]),"")</f>
        <v>681.08108108108104</v>
      </c>
      <c r="M94" s="42">
        <v>500</v>
      </c>
      <c r="N94" s="42">
        <v>41</v>
      </c>
      <c r="O94" s="43">
        <v>2</v>
      </c>
      <c r="P94" s="44">
        <f>IFERROR(Production[[#This Row],[Defect Quantity]]/(Production[[#This Row],[Defect Quantity]]+Production[[#This Row],[Ok Quantity]]),"")</f>
        <v>7.5785582255083181E-2</v>
      </c>
      <c r="Q94" s="44">
        <f>IFERROR(IF(Production[[#This Row],[Ok Quantity]]="","",Production[[#This Row],[Ok Quantity]]/Production[[#This Row],[Target Quantity]]),"")</f>
        <v>0.73412698412698418</v>
      </c>
      <c r="R94" s="41">
        <f>IFERROR(VLOOKUP(Production[[#This Row],[Product]],Database!B:E,4,0)*Production[[#This Row],[Defect Quantity]],"")</f>
        <v>2255</v>
      </c>
      <c r="S94" s="41">
        <f>IFERROR(VLOOKUP(Production[[#This Row],[Line]],Database!L:M,2,0)*(Production[[#This Row],[Lose Time (Hrs)]]),"")</f>
        <v>2700</v>
      </c>
      <c r="T94" s="41">
        <f>IFERROR(Production[[#This Row],[Lose Time Cost]]+Production[[#This Row],[Defect Cost]],"")</f>
        <v>4955</v>
      </c>
      <c r="U94" s="45">
        <f>IFERROR(3600/VLOOKUP(Production[[#This Row],[Product]],Database!B:E,2,0),"")</f>
        <v>97.297297297297291</v>
      </c>
      <c r="V94" s="45">
        <f>IFERROR(Production[[#This Row],[UPH]]/VLOOKUP(Production[[#This Row],[Product]],Database!B:E,3,0),"")</f>
        <v>32.432432432432428</v>
      </c>
      <c r="W94" s="46">
        <f>IFERROR(Production[[#This Row],[Actual Run Time (Hrs)]]/Production[[#This Row],[Breakdowns]],"")</f>
        <v>2</v>
      </c>
      <c r="X94" s="46">
        <f>IFERROR(Production[[#This Row],[Lose Time (Hrs)]]/Production[[#This Row],[Breakdowns]],"")</f>
        <v>1.5</v>
      </c>
      <c r="Y94" s="44">
        <f>IFERROR(IF(Production[[#This Row],[Actual Run Time (Hrs)]]="","",Production[[#This Row],[Actual Run Time (Hrs)]]/(Production[[#This Row],[Available time (Hrs)]]-Production[[#This Row],[Planned downtime (Hrs)]])),"")</f>
        <v>0.5714285714285714</v>
      </c>
      <c r="Z94" s="47">
        <f>IFERROR((IF(Production[[#This Row],[Ok Quantity]]="","",Production[[#This Row],[Ok Quantity]]+Production[[#This Row],[Defect Quantity]])/Production[[#This Row],[Target Quantity]]),"")</f>
        <v>0.79432539682539682</v>
      </c>
      <c r="AA94" s="47">
        <f>IFERROR(Production[[#This Row],[Ok Quantity]]/(Production[[#This Row],[Ok Quantity]]+Production[[#This Row],[Defect Quantity]]),"")</f>
        <v>0.92421441774491686</v>
      </c>
      <c r="AB94" s="44">
        <f>IFERROR(Production[[#This Row],[Quality %]]*Production[[#This Row],[Performance %]]*Production[[#This Row],[Availability %]],"")</f>
        <v>0.41950113378684806</v>
      </c>
    </row>
    <row r="95" spans="1:28" x14ac:dyDescent="0.25">
      <c r="A95" s="91" t="str">
        <f t="shared" si="2"/>
        <v/>
      </c>
      <c r="B95" s="26">
        <v>42781</v>
      </c>
      <c r="C95" s="28">
        <v>2</v>
      </c>
      <c r="D95" s="9" t="s">
        <v>27</v>
      </c>
      <c r="E95" s="9" t="s">
        <v>25</v>
      </c>
      <c r="F95" s="31">
        <v>6</v>
      </c>
      <c r="G95" s="33">
        <f>IFERROR(VLOOKUP(Production[[#This Row],[Shift]],Database!G:H,2,0),"")</f>
        <v>8</v>
      </c>
      <c r="H95" s="31">
        <v>1</v>
      </c>
      <c r="I95" s="33">
        <f>IFERROR(Production[[#This Row],[Available time (Hrs)]]-Production[[#This Row],[Planned downtime (Hrs)]],"")</f>
        <v>7</v>
      </c>
      <c r="J95" s="33">
        <f>IF(Production[[#This Row],[Available time (Hrs)]]="","",Production[[#This Row],[Available time (Hrs)]]-Production[[#This Row],[Actual Run Time (Hrs)]]-Production[[#This Row],[Planned downtime (Hrs)]])</f>
        <v>1</v>
      </c>
      <c r="K95" s="9" t="s">
        <v>67</v>
      </c>
      <c r="L95" s="41">
        <f>IFERROR(Production[[#This Row],[UPH]]*(Production[[#This Row],[Available time (Hrs)]]-Production[[#This Row],[Planned downtime (Hrs)]]),"")</f>
        <v>600</v>
      </c>
      <c r="M95" s="42">
        <v>432</v>
      </c>
      <c r="N95" s="42">
        <v>145</v>
      </c>
      <c r="O95" s="43">
        <v>2</v>
      </c>
      <c r="P95" s="44">
        <f>IFERROR(Production[[#This Row],[Defect Quantity]]/(Production[[#This Row],[Defect Quantity]]+Production[[#This Row],[Ok Quantity]]),"")</f>
        <v>0.25129982668977469</v>
      </c>
      <c r="Q95" s="44">
        <f>IFERROR(IF(Production[[#This Row],[Ok Quantity]]="","",Production[[#This Row],[Ok Quantity]]/Production[[#This Row],[Target Quantity]]),"")</f>
        <v>0.72</v>
      </c>
      <c r="R95" s="41">
        <f>IFERROR(VLOOKUP(Production[[#This Row],[Product]],Database!B:E,4,0)*Production[[#This Row],[Defect Quantity]],"")</f>
        <v>7395</v>
      </c>
      <c r="S95" s="41">
        <f>IFERROR(VLOOKUP(Production[[#This Row],[Line]],Database!L:M,2,0)*(Production[[#This Row],[Lose Time (Hrs)]]),"")</f>
        <v>1000</v>
      </c>
      <c r="T95" s="41">
        <f>IFERROR(Production[[#This Row],[Lose Time Cost]]+Production[[#This Row],[Defect Cost]],"")</f>
        <v>8395</v>
      </c>
      <c r="U95" s="45">
        <f>IFERROR(3600/VLOOKUP(Production[[#This Row],[Product]],Database!B:E,2,0),"")</f>
        <v>85.714285714285708</v>
      </c>
      <c r="V95" s="45">
        <f>IFERROR(Production[[#This Row],[UPH]]/VLOOKUP(Production[[#This Row],[Product]],Database!B:E,3,0),"")</f>
        <v>28.571428571428569</v>
      </c>
      <c r="W95" s="46">
        <f>IFERROR(Production[[#This Row],[Actual Run Time (Hrs)]]/Production[[#This Row],[Breakdowns]],"")</f>
        <v>3</v>
      </c>
      <c r="X95" s="46">
        <f>IFERROR(Production[[#This Row],[Lose Time (Hrs)]]/Production[[#This Row],[Breakdowns]],"")</f>
        <v>0.5</v>
      </c>
      <c r="Y95" s="44">
        <f>IFERROR(IF(Production[[#This Row],[Actual Run Time (Hrs)]]="","",Production[[#This Row],[Actual Run Time (Hrs)]]/(Production[[#This Row],[Available time (Hrs)]]-Production[[#This Row],[Planned downtime (Hrs)]])),"")</f>
        <v>0.8571428571428571</v>
      </c>
      <c r="Z95" s="47">
        <f>IFERROR((IF(Production[[#This Row],[Ok Quantity]]="","",Production[[#This Row],[Ok Quantity]]+Production[[#This Row],[Defect Quantity]])/Production[[#This Row],[Target Quantity]]),"")</f>
        <v>0.96166666666666667</v>
      </c>
      <c r="AA95" s="47">
        <f>IFERROR(Production[[#This Row],[Ok Quantity]]/(Production[[#This Row],[Ok Quantity]]+Production[[#This Row],[Defect Quantity]]),"")</f>
        <v>0.74870017331022531</v>
      </c>
      <c r="AB95" s="44">
        <f>IFERROR(Production[[#This Row],[Quality %]]*Production[[#This Row],[Performance %]]*Production[[#This Row],[Availability %]],"")</f>
        <v>0.6171428571428571</v>
      </c>
    </row>
    <row r="96" spans="1:28" x14ac:dyDescent="0.25">
      <c r="A96" s="91" t="str">
        <f t="shared" si="2"/>
        <v/>
      </c>
      <c r="B96" s="26">
        <v>43521</v>
      </c>
      <c r="C96" s="28">
        <v>2</v>
      </c>
      <c r="D96" s="9" t="s">
        <v>28</v>
      </c>
      <c r="E96" s="9" t="s">
        <v>22</v>
      </c>
      <c r="F96" s="31">
        <v>5</v>
      </c>
      <c r="G96" s="33">
        <f>IFERROR(VLOOKUP(Production[[#This Row],[Shift]],Database!G:H,2,0),"")</f>
        <v>8</v>
      </c>
      <c r="H96" s="31">
        <v>1</v>
      </c>
      <c r="I96" s="33">
        <f>IFERROR(Production[[#This Row],[Available time (Hrs)]]-Production[[#This Row],[Planned downtime (Hrs)]],"")</f>
        <v>7</v>
      </c>
      <c r="J96" s="33">
        <f>IF(Production[[#This Row],[Available time (Hrs)]]="","",Production[[#This Row],[Available time (Hrs)]]-Production[[#This Row],[Actual Run Time (Hrs)]]-Production[[#This Row],[Planned downtime (Hrs)]])</f>
        <v>2</v>
      </c>
      <c r="K96" s="9" t="s">
        <v>34</v>
      </c>
      <c r="L96" s="41">
        <f>IFERROR(Production[[#This Row],[UPH]]*(Production[[#This Row],[Available time (Hrs)]]-Production[[#This Row],[Planned downtime (Hrs)]]),"")</f>
        <v>681.08108108108104</v>
      </c>
      <c r="M96" s="42">
        <v>403</v>
      </c>
      <c r="N96" s="42">
        <v>75</v>
      </c>
      <c r="O96" s="43">
        <v>2</v>
      </c>
      <c r="P96" s="44">
        <f>IFERROR(Production[[#This Row],[Defect Quantity]]/(Production[[#This Row],[Defect Quantity]]+Production[[#This Row],[Ok Quantity]]),"")</f>
        <v>0.15690376569037656</v>
      </c>
      <c r="Q96" s="44">
        <f>IFERROR(IF(Production[[#This Row],[Ok Quantity]]="","",Production[[#This Row],[Ok Quantity]]/Production[[#This Row],[Target Quantity]]),"")</f>
        <v>0.59170634920634924</v>
      </c>
      <c r="R96" s="41">
        <f>IFERROR(VLOOKUP(Production[[#This Row],[Product]],Database!B:E,4,0)*Production[[#This Row],[Defect Quantity]],"")</f>
        <v>4125</v>
      </c>
      <c r="S96" s="41">
        <f>IFERROR(VLOOKUP(Production[[#This Row],[Line]],Database!L:M,2,0)*(Production[[#This Row],[Lose Time (Hrs)]]),"")</f>
        <v>2400</v>
      </c>
      <c r="T96" s="41">
        <f>IFERROR(Production[[#This Row],[Lose Time Cost]]+Production[[#This Row],[Defect Cost]],"")</f>
        <v>6525</v>
      </c>
      <c r="U96" s="45">
        <f>IFERROR(3600/VLOOKUP(Production[[#This Row],[Product]],Database!B:E,2,0),"")</f>
        <v>97.297297297297291</v>
      </c>
      <c r="V96" s="45">
        <f>IFERROR(Production[[#This Row],[UPH]]/VLOOKUP(Production[[#This Row],[Product]],Database!B:E,3,0),"")</f>
        <v>32.432432432432428</v>
      </c>
      <c r="W96" s="46">
        <f>IFERROR(Production[[#This Row],[Actual Run Time (Hrs)]]/Production[[#This Row],[Breakdowns]],"")</f>
        <v>2.5</v>
      </c>
      <c r="X96" s="46">
        <f>IFERROR(Production[[#This Row],[Lose Time (Hrs)]]/Production[[#This Row],[Breakdowns]],"")</f>
        <v>1</v>
      </c>
      <c r="Y96" s="44">
        <f>IFERROR(IF(Production[[#This Row],[Actual Run Time (Hrs)]]="","",Production[[#This Row],[Actual Run Time (Hrs)]]/(Production[[#This Row],[Available time (Hrs)]]-Production[[#This Row],[Planned downtime (Hrs)]])),"")</f>
        <v>0.7142857142857143</v>
      </c>
      <c r="Z96" s="47">
        <f>IFERROR((IF(Production[[#This Row],[Ok Quantity]]="","",Production[[#This Row],[Ok Quantity]]+Production[[#This Row],[Defect Quantity]])/Production[[#This Row],[Target Quantity]]),"")</f>
        <v>0.70182539682539691</v>
      </c>
      <c r="AA96" s="47">
        <f>IFERROR(Production[[#This Row],[Ok Quantity]]/(Production[[#This Row],[Ok Quantity]]+Production[[#This Row],[Defect Quantity]]),"")</f>
        <v>0.84309623430962344</v>
      </c>
      <c r="AB96" s="44">
        <f>IFERROR(Production[[#This Row],[Quality %]]*Production[[#This Row],[Performance %]]*Production[[#This Row],[Availability %]],"")</f>
        <v>0.42264739229024945</v>
      </c>
    </row>
    <row r="97" spans="1:28" x14ac:dyDescent="0.25">
      <c r="A97" s="91" t="str">
        <f t="shared" si="2"/>
        <v/>
      </c>
      <c r="B97" s="26">
        <v>42033</v>
      </c>
      <c r="C97" s="28">
        <v>3</v>
      </c>
      <c r="D97" s="9" t="s">
        <v>27</v>
      </c>
      <c r="E97" s="9" t="s">
        <v>22</v>
      </c>
      <c r="F97" s="31">
        <v>7</v>
      </c>
      <c r="G97" s="33">
        <f>IFERROR(VLOOKUP(Production[[#This Row],[Shift]],Database!G:H,2,0),"")</f>
        <v>8</v>
      </c>
      <c r="H97" s="31">
        <v>1</v>
      </c>
      <c r="I97" s="33">
        <f>IFERROR(Production[[#This Row],[Available time (Hrs)]]-Production[[#This Row],[Planned downtime (Hrs)]],"")</f>
        <v>7</v>
      </c>
      <c r="J97" s="33">
        <f>IF(Production[[#This Row],[Available time (Hrs)]]="","",Production[[#This Row],[Available time (Hrs)]]-Production[[#This Row],[Actual Run Time (Hrs)]]-Production[[#This Row],[Planned downtime (Hrs)]])</f>
        <v>0</v>
      </c>
      <c r="L97" s="41">
        <f>IFERROR(Production[[#This Row],[UPH]]*(Production[[#This Row],[Available time (Hrs)]]-Production[[#This Row],[Planned downtime (Hrs)]]),"")</f>
        <v>681.08108108108104</v>
      </c>
      <c r="M97" s="42">
        <v>464</v>
      </c>
      <c r="N97" s="42">
        <v>170</v>
      </c>
      <c r="O97" s="43">
        <v>0</v>
      </c>
      <c r="P97" s="44">
        <f>IFERROR(Production[[#This Row],[Defect Quantity]]/(Production[[#This Row],[Defect Quantity]]+Production[[#This Row],[Ok Quantity]]),"")</f>
        <v>0.26813880126182965</v>
      </c>
      <c r="Q97" s="44">
        <f>IFERROR(IF(Production[[#This Row],[Ok Quantity]]="","",Production[[#This Row],[Ok Quantity]]/Production[[#This Row],[Target Quantity]]),"")</f>
        <v>0.68126984126984136</v>
      </c>
      <c r="R97" s="41">
        <f>IFERROR(VLOOKUP(Production[[#This Row],[Product]],Database!B:E,4,0)*Production[[#This Row],[Defect Quantity]],"")</f>
        <v>9350</v>
      </c>
      <c r="S97" s="41">
        <f>IFERROR(VLOOKUP(Production[[#This Row],[Line]],Database!L:M,2,0)*(Production[[#This Row],[Lose Time (Hrs)]]),"")</f>
        <v>0</v>
      </c>
      <c r="T97" s="41">
        <f>IFERROR(Production[[#This Row],[Lose Time Cost]]+Production[[#This Row],[Defect Cost]],"")</f>
        <v>9350</v>
      </c>
      <c r="U97" s="45">
        <f>IFERROR(3600/VLOOKUP(Production[[#This Row],[Product]],Database!B:E,2,0),"")</f>
        <v>97.297297297297291</v>
      </c>
      <c r="V97" s="45">
        <f>IFERROR(Production[[#This Row],[UPH]]/VLOOKUP(Production[[#This Row],[Product]],Database!B:E,3,0),"")</f>
        <v>32.432432432432428</v>
      </c>
      <c r="W97" s="46" t="str">
        <f>IFERROR(Production[[#This Row],[Actual Run Time (Hrs)]]/Production[[#This Row],[Breakdowns]],"")</f>
        <v/>
      </c>
      <c r="X97" s="46" t="str">
        <f>IFERROR(Production[[#This Row],[Lose Time (Hrs)]]/Production[[#This Row],[Breakdowns]],"")</f>
        <v/>
      </c>
      <c r="Y97" s="44">
        <f>IFERROR(IF(Production[[#This Row],[Actual Run Time (Hrs)]]="","",Production[[#This Row],[Actual Run Time (Hrs)]]/(Production[[#This Row],[Available time (Hrs)]]-Production[[#This Row],[Planned downtime (Hrs)]])),"")</f>
        <v>1</v>
      </c>
      <c r="Z97" s="47">
        <f>IFERROR((IF(Production[[#This Row],[Ok Quantity]]="","",Production[[#This Row],[Ok Quantity]]+Production[[#This Row],[Defect Quantity]])/Production[[#This Row],[Target Quantity]]),"")</f>
        <v>0.93087301587301596</v>
      </c>
      <c r="AA97" s="47">
        <f>IFERROR(Production[[#This Row],[Ok Quantity]]/(Production[[#This Row],[Ok Quantity]]+Production[[#This Row],[Defect Quantity]]),"")</f>
        <v>0.73186119873817035</v>
      </c>
      <c r="AB97" s="44">
        <f>IFERROR(Production[[#This Row],[Quality %]]*Production[[#This Row],[Performance %]]*Production[[#This Row],[Availability %]],"")</f>
        <v>0.68126984126984136</v>
      </c>
    </row>
    <row r="98" spans="1:28" x14ac:dyDescent="0.25">
      <c r="A98" s="91" t="str">
        <f t="shared" ref="A98:A161" si="3">IF(AND(B97&lt;&gt;"",B98=""),"New entry---&gt;","")</f>
        <v/>
      </c>
      <c r="B98" s="26">
        <v>42261</v>
      </c>
      <c r="C98" s="28">
        <v>1</v>
      </c>
      <c r="D98" s="9" t="s">
        <v>50</v>
      </c>
      <c r="E98" s="9" t="s">
        <v>19</v>
      </c>
      <c r="F98" s="31">
        <v>6</v>
      </c>
      <c r="G98" s="33">
        <f>IFERROR(VLOOKUP(Production[[#This Row],[Shift]],Database!G:H,2,0),"")</f>
        <v>8</v>
      </c>
      <c r="H98" s="31">
        <v>1</v>
      </c>
      <c r="I98" s="33">
        <f>IFERROR(Production[[#This Row],[Available time (Hrs)]]-Production[[#This Row],[Planned downtime (Hrs)]],"")</f>
        <v>7</v>
      </c>
      <c r="J98" s="33">
        <f>IF(Production[[#This Row],[Available time (Hrs)]]="","",Production[[#This Row],[Available time (Hrs)]]-Production[[#This Row],[Actual Run Time (Hrs)]]-Production[[#This Row],[Planned downtime (Hrs)]])</f>
        <v>1</v>
      </c>
      <c r="K98" s="9" t="s">
        <v>68</v>
      </c>
      <c r="L98" s="41">
        <f>IFERROR(Production[[#This Row],[UPH]]*(Production[[#This Row],[Available time (Hrs)]]-Production[[#This Row],[Planned downtime (Hrs)]]),"")</f>
        <v>630</v>
      </c>
      <c r="M98" s="42">
        <v>416</v>
      </c>
      <c r="N98" s="42">
        <v>85</v>
      </c>
      <c r="O98" s="43">
        <v>1</v>
      </c>
      <c r="P98" s="44">
        <f>IFERROR(Production[[#This Row],[Defect Quantity]]/(Production[[#This Row],[Defect Quantity]]+Production[[#This Row],[Ok Quantity]]),"")</f>
        <v>0.16966067864271456</v>
      </c>
      <c r="Q98" s="44">
        <f>IFERROR(IF(Production[[#This Row],[Ok Quantity]]="","",Production[[#This Row],[Ok Quantity]]/Production[[#This Row],[Target Quantity]]),"")</f>
        <v>0.6603174603174603</v>
      </c>
      <c r="R98" s="41">
        <f>IFERROR(VLOOKUP(Production[[#This Row],[Product]],Database!B:E,4,0)*Production[[#This Row],[Defect Quantity]],"")</f>
        <v>5100</v>
      </c>
      <c r="S98" s="41">
        <f>IFERROR(VLOOKUP(Production[[#This Row],[Line]],Database!L:M,2,0)*(Production[[#This Row],[Lose Time (Hrs)]]),"")</f>
        <v>1500</v>
      </c>
      <c r="T98" s="41">
        <f>IFERROR(Production[[#This Row],[Lose Time Cost]]+Production[[#This Row],[Defect Cost]],"")</f>
        <v>6600</v>
      </c>
      <c r="U98" s="45">
        <f>IFERROR(3600/VLOOKUP(Production[[#This Row],[Product]],Database!B:E,2,0),"")</f>
        <v>90</v>
      </c>
      <c r="V98" s="45">
        <f>IFERROR(Production[[#This Row],[UPH]]/VLOOKUP(Production[[#This Row],[Product]],Database!B:E,3,0),"")</f>
        <v>22.5</v>
      </c>
      <c r="W98" s="46">
        <f>IFERROR(Production[[#This Row],[Actual Run Time (Hrs)]]/Production[[#This Row],[Breakdowns]],"")</f>
        <v>6</v>
      </c>
      <c r="X98" s="46">
        <f>IFERROR(Production[[#This Row],[Lose Time (Hrs)]]/Production[[#This Row],[Breakdowns]],"")</f>
        <v>1</v>
      </c>
      <c r="Y98" s="44">
        <f>IFERROR(IF(Production[[#This Row],[Actual Run Time (Hrs)]]="","",Production[[#This Row],[Actual Run Time (Hrs)]]/(Production[[#This Row],[Available time (Hrs)]]-Production[[#This Row],[Planned downtime (Hrs)]])),"")</f>
        <v>0.8571428571428571</v>
      </c>
      <c r="Z98" s="47">
        <f>IFERROR((IF(Production[[#This Row],[Ok Quantity]]="","",Production[[#This Row],[Ok Quantity]]+Production[[#This Row],[Defect Quantity]])/Production[[#This Row],[Target Quantity]]),"")</f>
        <v>0.79523809523809519</v>
      </c>
      <c r="AA98" s="47">
        <f>IFERROR(Production[[#This Row],[Ok Quantity]]/(Production[[#This Row],[Ok Quantity]]+Production[[#This Row],[Defect Quantity]]),"")</f>
        <v>0.83033932135728539</v>
      </c>
      <c r="AB98" s="44">
        <f>IFERROR(Production[[#This Row],[Quality %]]*Production[[#This Row],[Performance %]]*Production[[#This Row],[Availability %]],"")</f>
        <v>0.56598639455782296</v>
      </c>
    </row>
    <row r="99" spans="1:28" x14ac:dyDescent="0.25">
      <c r="A99" s="91" t="str">
        <f t="shared" si="3"/>
        <v/>
      </c>
      <c r="B99" s="26">
        <v>43527</v>
      </c>
      <c r="C99" s="28">
        <v>2</v>
      </c>
      <c r="D99" s="9" t="s">
        <v>27</v>
      </c>
      <c r="E99" s="9" t="s">
        <v>24</v>
      </c>
      <c r="F99" s="31">
        <v>6</v>
      </c>
      <c r="G99" s="33">
        <f>IFERROR(VLOOKUP(Production[[#This Row],[Shift]],Database!G:H,2,0),"")</f>
        <v>8</v>
      </c>
      <c r="H99" s="31">
        <v>1</v>
      </c>
      <c r="I99" s="33">
        <f>IFERROR(Production[[#This Row],[Available time (Hrs)]]-Production[[#This Row],[Planned downtime (Hrs)]],"")</f>
        <v>7</v>
      </c>
      <c r="J99" s="33">
        <f>IF(Production[[#This Row],[Available time (Hrs)]]="","",Production[[#This Row],[Available time (Hrs)]]-Production[[#This Row],[Actual Run Time (Hrs)]]-Production[[#This Row],[Planned downtime (Hrs)]])</f>
        <v>1</v>
      </c>
      <c r="K99" s="9" t="s">
        <v>37</v>
      </c>
      <c r="L99" s="41">
        <f>IFERROR(Production[[#This Row],[UPH]]*(Production[[#This Row],[Available time (Hrs)]]-Production[[#This Row],[Planned downtime (Hrs)]]),"")</f>
        <v>663.1578947368422</v>
      </c>
      <c r="M99" s="42">
        <v>479</v>
      </c>
      <c r="N99" s="42">
        <v>52</v>
      </c>
      <c r="O99" s="43">
        <v>1</v>
      </c>
      <c r="P99" s="44">
        <f>IFERROR(Production[[#This Row],[Defect Quantity]]/(Production[[#This Row],[Defect Quantity]]+Production[[#This Row],[Ok Quantity]]),"")</f>
        <v>9.7928436911487754E-2</v>
      </c>
      <c r="Q99" s="44">
        <f>IFERROR(IF(Production[[#This Row],[Ok Quantity]]="","",Production[[#This Row],[Ok Quantity]]/Production[[#This Row],[Target Quantity]]),"")</f>
        <v>0.72230158730158722</v>
      </c>
      <c r="R99" s="41">
        <f>IFERROR(VLOOKUP(Production[[#This Row],[Product]],Database!B:E,4,0)*Production[[#This Row],[Defect Quantity]],"")</f>
        <v>2184</v>
      </c>
      <c r="S99" s="41">
        <f>IFERROR(VLOOKUP(Production[[#This Row],[Line]],Database!L:M,2,0)*(Production[[#This Row],[Lose Time (Hrs)]]),"")</f>
        <v>1000</v>
      </c>
      <c r="T99" s="41">
        <f>IFERROR(Production[[#This Row],[Lose Time Cost]]+Production[[#This Row],[Defect Cost]],"")</f>
        <v>3184</v>
      </c>
      <c r="U99" s="45">
        <f>IFERROR(3600/VLOOKUP(Production[[#This Row],[Product]],Database!B:E,2,0),"")</f>
        <v>94.736842105263165</v>
      </c>
      <c r="V99" s="45">
        <f>IFERROR(Production[[#This Row],[UPH]]/VLOOKUP(Production[[#This Row],[Product]],Database!B:E,3,0),"")</f>
        <v>47.368421052631582</v>
      </c>
      <c r="W99" s="46">
        <f>IFERROR(Production[[#This Row],[Actual Run Time (Hrs)]]/Production[[#This Row],[Breakdowns]],"")</f>
        <v>6</v>
      </c>
      <c r="X99" s="46">
        <f>IFERROR(Production[[#This Row],[Lose Time (Hrs)]]/Production[[#This Row],[Breakdowns]],"")</f>
        <v>1</v>
      </c>
      <c r="Y99" s="44">
        <f>IFERROR(IF(Production[[#This Row],[Actual Run Time (Hrs)]]="","",Production[[#This Row],[Actual Run Time (Hrs)]]/(Production[[#This Row],[Available time (Hrs)]]-Production[[#This Row],[Planned downtime (Hrs)]])),"")</f>
        <v>0.8571428571428571</v>
      </c>
      <c r="Z99" s="47">
        <f>IFERROR((IF(Production[[#This Row],[Ok Quantity]]="","",Production[[#This Row],[Ok Quantity]]+Production[[#This Row],[Defect Quantity]])/Production[[#This Row],[Target Quantity]]),"")</f>
        <v>0.8007142857142856</v>
      </c>
      <c r="AA99" s="47">
        <f>IFERROR(Production[[#This Row],[Ok Quantity]]/(Production[[#This Row],[Ok Quantity]]+Production[[#This Row],[Defect Quantity]]),"")</f>
        <v>0.90207156308851222</v>
      </c>
      <c r="AB99" s="44">
        <f>IFERROR(Production[[#This Row],[Quality %]]*Production[[#This Row],[Performance %]]*Production[[#This Row],[Availability %]],"")</f>
        <v>0.61911564625850335</v>
      </c>
    </row>
    <row r="100" spans="1:28" x14ac:dyDescent="0.25">
      <c r="A100" s="91" t="str">
        <f t="shared" si="3"/>
        <v/>
      </c>
      <c r="B100" s="26">
        <v>42642</v>
      </c>
      <c r="C100" s="28">
        <v>1</v>
      </c>
      <c r="D100" s="9" t="s">
        <v>29</v>
      </c>
      <c r="E100" s="9" t="s">
        <v>22</v>
      </c>
      <c r="F100" s="31">
        <v>7</v>
      </c>
      <c r="G100" s="33">
        <f>IFERROR(VLOOKUP(Production[[#This Row],[Shift]],Database!G:H,2,0),"")</f>
        <v>8</v>
      </c>
      <c r="H100" s="31">
        <v>1</v>
      </c>
      <c r="I100" s="33">
        <f>IFERROR(Production[[#This Row],[Available time (Hrs)]]-Production[[#This Row],[Planned downtime (Hrs)]],"")</f>
        <v>7</v>
      </c>
      <c r="J100" s="33">
        <f>IF(Production[[#This Row],[Available time (Hrs)]]="","",Production[[#This Row],[Available time (Hrs)]]-Production[[#This Row],[Actual Run Time (Hrs)]]-Production[[#This Row],[Planned downtime (Hrs)]])</f>
        <v>0</v>
      </c>
      <c r="L100" s="41">
        <f>IFERROR(Production[[#This Row],[UPH]]*(Production[[#This Row],[Available time (Hrs)]]-Production[[#This Row],[Planned downtime (Hrs)]]),"")</f>
        <v>681.08108108108104</v>
      </c>
      <c r="M100" s="42">
        <v>456</v>
      </c>
      <c r="N100" s="42">
        <v>40</v>
      </c>
      <c r="O100" s="43">
        <v>0</v>
      </c>
      <c r="P100" s="44">
        <f>IFERROR(Production[[#This Row],[Defect Quantity]]/(Production[[#This Row],[Defect Quantity]]+Production[[#This Row],[Ok Quantity]]),"")</f>
        <v>8.0645161290322578E-2</v>
      </c>
      <c r="Q100" s="44">
        <f>IFERROR(IF(Production[[#This Row],[Ok Quantity]]="","",Production[[#This Row],[Ok Quantity]]/Production[[#This Row],[Target Quantity]]),"")</f>
        <v>0.66952380952380952</v>
      </c>
      <c r="R100" s="41">
        <f>IFERROR(VLOOKUP(Production[[#This Row],[Product]],Database!B:E,4,0)*Production[[#This Row],[Defect Quantity]],"")</f>
        <v>2200</v>
      </c>
      <c r="S100" s="41">
        <f>IFERROR(VLOOKUP(Production[[#This Row],[Line]],Database!L:M,2,0)*(Production[[#This Row],[Lose Time (Hrs)]]),"")</f>
        <v>0</v>
      </c>
      <c r="T100" s="41">
        <f>IFERROR(Production[[#This Row],[Lose Time Cost]]+Production[[#This Row],[Defect Cost]],"")</f>
        <v>2200</v>
      </c>
      <c r="U100" s="45">
        <f>IFERROR(3600/VLOOKUP(Production[[#This Row],[Product]],Database!B:E,2,0),"")</f>
        <v>97.297297297297291</v>
      </c>
      <c r="V100" s="45">
        <f>IFERROR(Production[[#This Row],[UPH]]/VLOOKUP(Production[[#This Row],[Product]],Database!B:E,3,0),"")</f>
        <v>32.432432432432428</v>
      </c>
      <c r="W100" s="46" t="str">
        <f>IFERROR(Production[[#This Row],[Actual Run Time (Hrs)]]/Production[[#This Row],[Breakdowns]],"")</f>
        <v/>
      </c>
      <c r="X100" s="46" t="str">
        <f>IFERROR(Production[[#This Row],[Lose Time (Hrs)]]/Production[[#This Row],[Breakdowns]],"")</f>
        <v/>
      </c>
      <c r="Y100" s="44">
        <f>IFERROR(IF(Production[[#This Row],[Actual Run Time (Hrs)]]="","",Production[[#This Row],[Actual Run Time (Hrs)]]/(Production[[#This Row],[Available time (Hrs)]]-Production[[#This Row],[Planned downtime (Hrs)]])),"")</f>
        <v>1</v>
      </c>
      <c r="Z100" s="47">
        <f>IFERROR((IF(Production[[#This Row],[Ok Quantity]]="","",Production[[#This Row],[Ok Quantity]]+Production[[#This Row],[Defect Quantity]])/Production[[#This Row],[Target Quantity]]),"")</f>
        <v>0.72825396825396826</v>
      </c>
      <c r="AA100" s="47">
        <f>IFERROR(Production[[#This Row],[Ok Quantity]]/(Production[[#This Row],[Ok Quantity]]+Production[[#This Row],[Defect Quantity]]),"")</f>
        <v>0.91935483870967738</v>
      </c>
      <c r="AB100" s="44">
        <f>IFERROR(Production[[#This Row],[Quality %]]*Production[[#This Row],[Performance %]]*Production[[#This Row],[Availability %]],"")</f>
        <v>0.66952380952380952</v>
      </c>
    </row>
    <row r="101" spans="1:28" x14ac:dyDescent="0.25">
      <c r="A101" s="92" t="str">
        <f t="shared" si="3"/>
        <v>New entry---&gt;</v>
      </c>
    </row>
    <row r="102" spans="1:28" x14ac:dyDescent="0.25">
      <c r="A102" s="91" t="str">
        <f t="shared" si="3"/>
        <v/>
      </c>
    </row>
    <row r="103" spans="1:28" x14ac:dyDescent="0.25">
      <c r="A103" s="91" t="str">
        <f t="shared" si="3"/>
        <v/>
      </c>
    </row>
    <row r="104" spans="1:28" x14ac:dyDescent="0.25">
      <c r="A104" s="91" t="str">
        <f t="shared" si="3"/>
        <v/>
      </c>
    </row>
    <row r="105" spans="1:28" x14ac:dyDescent="0.25">
      <c r="A105" s="91" t="str">
        <f t="shared" si="3"/>
        <v/>
      </c>
    </row>
    <row r="106" spans="1:28" x14ac:dyDescent="0.25">
      <c r="A106" s="91" t="str">
        <f t="shared" si="3"/>
        <v/>
      </c>
    </row>
    <row r="107" spans="1:28" x14ac:dyDescent="0.25">
      <c r="A107" s="91" t="str">
        <f t="shared" si="3"/>
        <v/>
      </c>
    </row>
    <row r="108" spans="1:28" x14ac:dyDescent="0.25">
      <c r="A108" s="91" t="str">
        <f t="shared" si="3"/>
        <v/>
      </c>
    </row>
    <row r="109" spans="1:28" x14ac:dyDescent="0.25">
      <c r="A109" s="91" t="str">
        <f t="shared" si="3"/>
        <v/>
      </c>
    </row>
    <row r="110" spans="1:28" x14ac:dyDescent="0.25">
      <c r="A110" s="91" t="str">
        <f t="shared" si="3"/>
        <v/>
      </c>
    </row>
    <row r="111" spans="1:28" x14ac:dyDescent="0.25">
      <c r="A111" s="91" t="str">
        <f t="shared" si="3"/>
        <v/>
      </c>
    </row>
    <row r="112" spans="1:28" x14ac:dyDescent="0.25">
      <c r="A112" s="91" t="str">
        <f t="shared" si="3"/>
        <v/>
      </c>
    </row>
    <row r="113" spans="1:1" x14ac:dyDescent="0.25">
      <c r="A113" s="91" t="str">
        <f t="shared" si="3"/>
        <v/>
      </c>
    </row>
    <row r="114" spans="1:1" x14ac:dyDescent="0.25">
      <c r="A114" s="91" t="str">
        <f t="shared" si="3"/>
        <v/>
      </c>
    </row>
    <row r="115" spans="1:1" x14ac:dyDescent="0.25">
      <c r="A115" s="91" t="str">
        <f t="shared" si="3"/>
        <v/>
      </c>
    </row>
    <row r="116" spans="1:1" x14ac:dyDescent="0.25">
      <c r="A116" s="91" t="str">
        <f t="shared" si="3"/>
        <v/>
      </c>
    </row>
    <row r="117" spans="1:1" x14ac:dyDescent="0.25">
      <c r="A117" s="91" t="str">
        <f t="shared" si="3"/>
        <v/>
      </c>
    </row>
    <row r="118" spans="1:1" x14ac:dyDescent="0.25">
      <c r="A118" s="91" t="str">
        <f t="shared" si="3"/>
        <v/>
      </c>
    </row>
    <row r="119" spans="1:1" x14ac:dyDescent="0.25">
      <c r="A119" s="91" t="str">
        <f t="shared" si="3"/>
        <v/>
      </c>
    </row>
    <row r="120" spans="1:1" x14ac:dyDescent="0.25">
      <c r="A120" s="91" t="str">
        <f t="shared" si="3"/>
        <v/>
      </c>
    </row>
    <row r="121" spans="1:1" x14ac:dyDescent="0.25">
      <c r="A121" s="91" t="str">
        <f t="shared" si="3"/>
        <v/>
      </c>
    </row>
    <row r="122" spans="1:1" x14ac:dyDescent="0.25">
      <c r="A122" s="91" t="str">
        <f t="shared" si="3"/>
        <v/>
      </c>
    </row>
    <row r="123" spans="1:1" x14ac:dyDescent="0.25">
      <c r="A123" s="91" t="str">
        <f t="shared" si="3"/>
        <v/>
      </c>
    </row>
    <row r="124" spans="1:1" x14ac:dyDescent="0.25">
      <c r="A124" s="91" t="str">
        <f t="shared" si="3"/>
        <v/>
      </c>
    </row>
    <row r="125" spans="1:1" x14ac:dyDescent="0.25">
      <c r="A125" s="91" t="str">
        <f t="shared" si="3"/>
        <v/>
      </c>
    </row>
    <row r="126" spans="1:1" x14ac:dyDescent="0.25">
      <c r="A126" s="91" t="str">
        <f t="shared" si="3"/>
        <v/>
      </c>
    </row>
    <row r="127" spans="1:1" x14ac:dyDescent="0.25">
      <c r="A127" s="91" t="str">
        <f t="shared" si="3"/>
        <v/>
      </c>
    </row>
    <row r="128" spans="1:1" x14ac:dyDescent="0.25">
      <c r="A128" s="91" t="str">
        <f t="shared" si="3"/>
        <v/>
      </c>
    </row>
    <row r="129" spans="1:1" x14ac:dyDescent="0.25">
      <c r="A129" s="91" t="str">
        <f t="shared" si="3"/>
        <v/>
      </c>
    </row>
    <row r="130" spans="1:1" x14ac:dyDescent="0.25">
      <c r="A130" s="91" t="str">
        <f t="shared" si="3"/>
        <v/>
      </c>
    </row>
    <row r="131" spans="1:1" x14ac:dyDescent="0.25">
      <c r="A131" s="91" t="str">
        <f t="shared" si="3"/>
        <v/>
      </c>
    </row>
    <row r="132" spans="1:1" x14ac:dyDescent="0.25">
      <c r="A132" s="91" t="str">
        <f t="shared" si="3"/>
        <v/>
      </c>
    </row>
    <row r="133" spans="1:1" x14ac:dyDescent="0.25">
      <c r="A133" s="91" t="str">
        <f t="shared" si="3"/>
        <v/>
      </c>
    </row>
    <row r="134" spans="1:1" x14ac:dyDescent="0.25">
      <c r="A134" s="91" t="str">
        <f t="shared" si="3"/>
        <v/>
      </c>
    </row>
    <row r="135" spans="1:1" x14ac:dyDescent="0.25">
      <c r="A135" s="91" t="str">
        <f t="shared" si="3"/>
        <v/>
      </c>
    </row>
    <row r="136" spans="1:1" x14ac:dyDescent="0.25">
      <c r="A136" s="91" t="str">
        <f t="shared" si="3"/>
        <v/>
      </c>
    </row>
    <row r="137" spans="1:1" x14ac:dyDescent="0.25">
      <c r="A137" s="91" t="str">
        <f t="shared" si="3"/>
        <v/>
      </c>
    </row>
    <row r="138" spans="1:1" x14ac:dyDescent="0.25">
      <c r="A138" s="91" t="str">
        <f t="shared" si="3"/>
        <v/>
      </c>
    </row>
    <row r="139" spans="1:1" x14ac:dyDescent="0.25">
      <c r="A139" s="91" t="str">
        <f t="shared" si="3"/>
        <v/>
      </c>
    </row>
    <row r="140" spans="1:1" x14ac:dyDescent="0.25">
      <c r="A140" s="91" t="str">
        <f t="shared" si="3"/>
        <v/>
      </c>
    </row>
    <row r="141" spans="1:1" x14ac:dyDescent="0.25">
      <c r="A141" s="91" t="str">
        <f t="shared" si="3"/>
        <v/>
      </c>
    </row>
    <row r="142" spans="1:1" x14ac:dyDescent="0.25">
      <c r="A142" s="91" t="str">
        <f t="shared" si="3"/>
        <v/>
      </c>
    </row>
    <row r="143" spans="1:1" x14ac:dyDescent="0.25">
      <c r="A143" s="91" t="str">
        <f t="shared" si="3"/>
        <v/>
      </c>
    </row>
    <row r="144" spans="1:1" x14ac:dyDescent="0.25">
      <c r="A144" s="91" t="str">
        <f t="shared" si="3"/>
        <v/>
      </c>
    </row>
    <row r="145" spans="1:1" x14ac:dyDescent="0.25">
      <c r="A145" s="91" t="str">
        <f t="shared" si="3"/>
        <v/>
      </c>
    </row>
    <row r="146" spans="1:1" x14ac:dyDescent="0.25">
      <c r="A146" s="91" t="str">
        <f t="shared" si="3"/>
        <v/>
      </c>
    </row>
    <row r="147" spans="1:1" x14ac:dyDescent="0.25">
      <c r="A147" s="91" t="str">
        <f t="shared" si="3"/>
        <v/>
      </c>
    </row>
    <row r="148" spans="1:1" x14ac:dyDescent="0.25">
      <c r="A148" s="91" t="str">
        <f t="shared" si="3"/>
        <v/>
      </c>
    </row>
    <row r="149" spans="1:1" x14ac:dyDescent="0.25">
      <c r="A149" s="91" t="str">
        <f t="shared" si="3"/>
        <v/>
      </c>
    </row>
    <row r="150" spans="1:1" x14ac:dyDescent="0.25">
      <c r="A150" s="91" t="str">
        <f t="shared" si="3"/>
        <v/>
      </c>
    </row>
    <row r="151" spans="1:1" x14ac:dyDescent="0.25">
      <c r="A151" s="91" t="str">
        <f t="shared" si="3"/>
        <v/>
      </c>
    </row>
    <row r="152" spans="1:1" x14ac:dyDescent="0.25">
      <c r="A152" s="91" t="str">
        <f t="shared" si="3"/>
        <v/>
      </c>
    </row>
    <row r="153" spans="1:1" x14ac:dyDescent="0.25">
      <c r="A153" s="91" t="str">
        <f t="shared" si="3"/>
        <v/>
      </c>
    </row>
    <row r="154" spans="1:1" x14ac:dyDescent="0.25">
      <c r="A154" s="91" t="str">
        <f t="shared" si="3"/>
        <v/>
      </c>
    </row>
    <row r="155" spans="1:1" x14ac:dyDescent="0.25">
      <c r="A155" s="91" t="str">
        <f t="shared" si="3"/>
        <v/>
      </c>
    </row>
    <row r="156" spans="1:1" x14ac:dyDescent="0.25">
      <c r="A156" s="91" t="str">
        <f t="shared" si="3"/>
        <v/>
      </c>
    </row>
    <row r="157" spans="1:1" x14ac:dyDescent="0.25">
      <c r="A157" s="91" t="str">
        <f t="shared" si="3"/>
        <v/>
      </c>
    </row>
    <row r="158" spans="1:1" x14ac:dyDescent="0.25">
      <c r="A158" s="91" t="str">
        <f t="shared" si="3"/>
        <v/>
      </c>
    </row>
    <row r="159" spans="1:1" x14ac:dyDescent="0.25">
      <c r="A159" s="91" t="str">
        <f t="shared" si="3"/>
        <v/>
      </c>
    </row>
    <row r="160" spans="1:1" x14ac:dyDescent="0.25">
      <c r="A160" s="91" t="str">
        <f t="shared" si="3"/>
        <v/>
      </c>
    </row>
    <row r="161" spans="1:1" x14ac:dyDescent="0.25">
      <c r="A161" s="91" t="str">
        <f t="shared" si="3"/>
        <v/>
      </c>
    </row>
    <row r="162" spans="1:1" x14ac:dyDescent="0.25">
      <c r="A162" s="91" t="str">
        <f t="shared" ref="A162:A225" si="4">IF(AND(B161&lt;&gt;"",B162=""),"New entry---&gt;","")</f>
        <v/>
      </c>
    </row>
    <row r="163" spans="1:1" x14ac:dyDescent="0.25">
      <c r="A163" s="91" t="str">
        <f t="shared" si="4"/>
        <v/>
      </c>
    </row>
    <row r="164" spans="1:1" x14ac:dyDescent="0.25">
      <c r="A164" s="91" t="str">
        <f t="shared" si="4"/>
        <v/>
      </c>
    </row>
    <row r="165" spans="1:1" x14ac:dyDescent="0.25">
      <c r="A165" s="91" t="str">
        <f t="shared" si="4"/>
        <v/>
      </c>
    </row>
    <row r="166" spans="1:1" x14ac:dyDescent="0.25">
      <c r="A166" s="91" t="str">
        <f t="shared" si="4"/>
        <v/>
      </c>
    </row>
    <row r="167" spans="1:1" x14ac:dyDescent="0.25">
      <c r="A167" s="91" t="str">
        <f t="shared" si="4"/>
        <v/>
      </c>
    </row>
    <row r="168" spans="1:1" x14ac:dyDescent="0.25">
      <c r="A168" s="91" t="str">
        <f t="shared" si="4"/>
        <v/>
      </c>
    </row>
    <row r="169" spans="1:1" x14ac:dyDescent="0.25">
      <c r="A169" s="91" t="str">
        <f t="shared" si="4"/>
        <v/>
      </c>
    </row>
    <row r="170" spans="1:1" x14ac:dyDescent="0.25">
      <c r="A170" s="91" t="str">
        <f t="shared" si="4"/>
        <v/>
      </c>
    </row>
    <row r="171" spans="1:1" x14ac:dyDescent="0.25">
      <c r="A171" s="91" t="str">
        <f t="shared" si="4"/>
        <v/>
      </c>
    </row>
    <row r="172" spans="1:1" x14ac:dyDescent="0.25">
      <c r="A172" s="91" t="str">
        <f t="shared" si="4"/>
        <v/>
      </c>
    </row>
    <row r="173" spans="1:1" x14ac:dyDescent="0.25">
      <c r="A173" s="91" t="str">
        <f t="shared" si="4"/>
        <v/>
      </c>
    </row>
    <row r="174" spans="1:1" x14ac:dyDescent="0.25">
      <c r="A174" s="91" t="str">
        <f t="shared" si="4"/>
        <v/>
      </c>
    </row>
    <row r="175" spans="1:1" x14ac:dyDescent="0.25">
      <c r="A175" s="91" t="str">
        <f t="shared" si="4"/>
        <v/>
      </c>
    </row>
    <row r="176" spans="1:1" x14ac:dyDescent="0.25">
      <c r="A176" s="91" t="str">
        <f t="shared" si="4"/>
        <v/>
      </c>
    </row>
    <row r="177" spans="1:1" x14ac:dyDescent="0.25">
      <c r="A177" s="91" t="str">
        <f t="shared" si="4"/>
        <v/>
      </c>
    </row>
    <row r="178" spans="1:1" x14ac:dyDescent="0.25">
      <c r="A178" s="91" t="str">
        <f t="shared" si="4"/>
        <v/>
      </c>
    </row>
    <row r="179" spans="1:1" x14ac:dyDescent="0.25">
      <c r="A179" s="91" t="str">
        <f t="shared" si="4"/>
        <v/>
      </c>
    </row>
    <row r="180" spans="1:1" x14ac:dyDescent="0.25">
      <c r="A180" s="91" t="str">
        <f t="shared" si="4"/>
        <v/>
      </c>
    </row>
    <row r="181" spans="1:1" x14ac:dyDescent="0.25">
      <c r="A181" s="91" t="str">
        <f t="shared" si="4"/>
        <v/>
      </c>
    </row>
    <row r="182" spans="1:1" x14ac:dyDescent="0.25">
      <c r="A182" s="91" t="str">
        <f t="shared" si="4"/>
        <v/>
      </c>
    </row>
    <row r="183" spans="1:1" x14ac:dyDescent="0.25">
      <c r="A183" s="91" t="str">
        <f t="shared" si="4"/>
        <v/>
      </c>
    </row>
    <row r="184" spans="1:1" x14ac:dyDescent="0.25">
      <c r="A184" s="91" t="str">
        <f t="shared" si="4"/>
        <v/>
      </c>
    </row>
    <row r="185" spans="1:1" x14ac:dyDescent="0.25">
      <c r="A185" s="91" t="str">
        <f t="shared" si="4"/>
        <v/>
      </c>
    </row>
    <row r="186" spans="1:1" x14ac:dyDescent="0.25">
      <c r="A186" s="91" t="str">
        <f t="shared" si="4"/>
        <v/>
      </c>
    </row>
    <row r="187" spans="1:1" x14ac:dyDescent="0.25">
      <c r="A187" s="91" t="str">
        <f t="shared" si="4"/>
        <v/>
      </c>
    </row>
    <row r="188" spans="1:1" x14ac:dyDescent="0.25">
      <c r="A188" s="91" t="str">
        <f t="shared" si="4"/>
        <v/>
      </c>
    </row>
    <row r="189" spans="1:1" x14ac:dyDescent="0.25">
      <c r="A189" s="91" t="str">
        <f t="shared" si="4"/>
        <v/>
      </c>
    </row>
    <row r="190" spans="1:1" x14ac:dyDescent="0.25">
      <c r="A190" s="91" t="str">
        <f t="shared" si="4"/>
        <v/>
      </c>
    </row>
    <row r="191" spans="1:1" x14ac:dyDescent="0.25">
      <c r="A191" s="91" t="str">
        <f t="shared" si="4"/>
        <v/>
      </c>
    </row>
    <row r="192" spans="1:1" x14ac:dyDescent="0.25">
      <c r="A192" s="91" t="str">
        <f t="shared" si="4"/>
        <v/>
      </c>
    </row>
    <row r="193" spans="1:1" x14ac:dyDescent="0.25">
      <c r="A193" s="91" t="str">
        <f t="shared" si="4"/>
        <v/>
      </c>
    </row>
    <row r="194" spans="1:1" x14ac:dyDescent="0.25">
      <c r="A194" s="91" t="str">
        <f t="shared" si="4"/>
        <v/>
      </c>
    </row>
    <row r="195" spans="1:1" x14ac:dyDescent="0.25">
      <c r="A195" s="91" t="str">
        <f t="shared" si="4"/>
        <v/>
      </c>
    </row>
    <row r="196" spans="1:1" x14ac:dyDescent="0.25">
      <c r="A196" s="91" t="str">
        <f t="shared" si="4"/>
        <v/>
      </c>
    </row>
    <row r="197" spans="1:1" x14ac:dyDescent="0.25">
      <c r="A197" s="91" t="str">
        <f t="shared" si="4"/>
        <v/>
      </c>
    </row>
    <row r="198" spans="1:1" x14ac:dyDescent="0.25">
      <c r="A198" s="91" t="str">
        <f t="shared" si="4"/>
        <v/>
      </c>
    </row>
    <row r="199" spans="1:1" x14ac:dyDescent="0.25">
      <c r="A199" s="91" t="str">
        <f t="shared" si="4"/>
        <v/>
      </c>
    </row>
    <row r="200" spans="1:1" x14ac:dyDescent="0.25">
      <c r="A200" s="91" t="str">
        <f t="shared" si="4"/>
        <v/>
      </c>
    </row>
    <row r="201" spans="1:1" x14ac:dyDescent="0.25">
      <c r="A201" s="91" t="str">
        <f t="shared" si="4"/>
        <v/>
      </c>
    </row>
    <row r="202" spans="1:1" x14ac:dyDescent="0.25">
      <c r="A202" s="91" t="str">
        <f t="shared" si="4"/>
        <v/>
      </c>
    </row>
    <row r="203" spans="1:1" x14ac:dyDescent="0.25">
      <c r="A203" s="91" t="str">
        <f t="shared" si="4"/>
        <v/>
      </c>
    </row>
    <row r="204" spans="1:1" x14ac:dyDescent="0.25">
      <c r="A204" s="91" t="str">
        <f t="shared" si="4"/>
        <v/>
      </c>
    </row>
    <row r="205" spans="1:1" x14ac:dyDescent="0.25">
      <c r="A205" s="91" t="str">
        <f t="shared" si="4"/>
        <v/>
      </c>
    </row>
    <row r="206" spans="1:1" x14ac:dyDescent="0.25">
      <c r="A206" s="91" t="str">
        <f t="shared" si="4"/>
        <v/>
      </c>
    </row>
    <row r="207" spans="1:1" x14ac:dyDescent="0.25">
      <c r="A207" s="91" t="str">
        <f t="shared" si="4"/>
        <v/>
      </c>
    </row>
    <row r="208" spans="1:1" x14ac:dyDescent="0.25">
      <c r="A208" s="91" t="str">
        <f t="shared" si="4"/>
        <v/>
      </c>
    </row>
    <row r="209" spans="1:1" x14ac:dyDescent="0.25">
      <c r="A209" s="91" t="str">
        <f t="shared" si="4"/>
        <v/>
      </c>
    </row>
    <row r="210" spans="1:1" x14ac:dyDescent="0.25">
      <c r="A210" s="91" t="str">
        <f t="shared" si="4"/>
        <v/>
      </c>
    </row>
    <row r="211" spans="1:1" x14ac:dyDescent="0.25">
      <c r="A211" s="91" t="str">
        <f t="shared" si="4"/>
        <v/>
      </c>
    </row>
    <row r="212" spans="1:1" x14ac:dyDescent="0.25">
      <c r="A212" s="91" t="str">
        <f t="shared" si="4"/>
        <v/>
      </c>
    </row>
    <row r="213" spans="1:1" x14ac:dyDescent="0.25">
      <c r="A213" s="91" t="str">
        <f t="shared" si="4"/>
        <v/>
      </c>
    </row>
    <row r="214" spans="1:1" x14ac:dyDescent="0.25">
      <c r="A214" s="91" t="str">
        <f t="shared" si="4"/>
        <v/>
      </c>
    </row>
    <row r="215" spans="1:1" x14ac:dyDescent="0.25">
      <c r="A215" s="91" t="str">
        <f t="shared" si="4"/>
        <v/>
      </c>
    </row>
    <row r="216" spans="1:1" x14ac:dyDescent="0.25">
      <c r="A216" s="91" t="str">
        <f t="shared" si="4"/>
        <v/>
      </c>
    </row>
    <row r="217" spans="1:1" x14ac:dyDescent="0.25">
      <c r="A217" s="91" t="str">
        <f t="shared" si="4"/>
        <v/>
      </c>
    </row>
    <row r="218" spans="1:1" x14ac:dyDescent="0.25">
      <c r="A218" s="91" t="str">
        <f t="shared" si="4"/>
        <v/>
      </c>
    </row>
    <row r="219" spans="1:1" x14ac:dyDescent="0.25">
      <c r="A219" s="91" t="str">
        <f t="shared" si="4"/>
        <v/>
      </c>
    </row>
    <row r="220" spans="1:1" x14ac:dyDescent="0.25">
      <c r="A220" s="91" t="str">
        <f t="shared" si="4"/>
        <v/>
      </c>
    </row>
    <row r="221" spans="1:1" x14ac:dyDescent="0.25">
      <c r="A221" s="91" t="str">
        <f t="shared" si="4"/>
        <v/>
      </c>
    </row>
    <row r="222" spans="1:1" x14ac:dyDescent="0.25">
      <c r="A222" s="91" t="str">
        <f t="shared" si="4"/>
        <v/>
      </c>
    </row>
    <row r="223" spans="1:1" x14ac:dyDescent="0.25">
      <c r="A223" s="91" t="str">
        <f t="shared" si="4"/>
        <v/>
      </c>
    </row>
    <row r="224" spans="1:1" x14ac:dyDescent="0.25">
      <c r="A224" s="91" t="str">
        <f t="shared" si="4"/>
        <v/>
      </c>
    </row>
    <row r="225" spans="1:1" x14ac:dyDescent="0.25">
      <c r="A225" s="91" t="str">
        <f t="shared" si="4"/>
        <v/>
      </c>
    </row>
    <row r="226" spans="1:1" x14ac:dyDescent="0.25">
      <c r="A226" s="91" t="str">
        <f t="shared" ref="A226:A289" si="5">IF(AND(B225&lt;&gt;"",B226=""),"New entry---&gt;","")</f>
        <v/>
      </c>
    </row>
    <row r="227" spans="1:1" x14ac:dyDescent="0.25">
      <c r="A227" s="91" t="str">
        <f t="shared" si="5"/>
        <v/>
      </c>
    </row>
    <row r="228" spans="1:1" x14ac:dyDescent="0.25">
      <c r="A228" s="91" t="str">
        <f t="shared" si="5"/>
        <v/>
      </c>
    </row>
    <row r="229" spans="1:1" x14ac:dyDescent="0.25">
      <c r="A229" s="91" t="str">
        <f t="shared" si="5"/>
        <v/>
      </c>
    </row>
    <row r="230" spans="1:1" x14ac:dyDescent="0.25">
      <c r="A230" s="91" t="str">
        <f t="shared" si="5"/>
        <v/>
      </c>
    </row>
    <row r="231" spans="1:1" x14ac:dyDescent="0.25">
      <c r="A231" s="91" t="str">
        <f t="shared" si="5"/>
        <v/>
      </c>
    </row>
    <row r="232" spans="1:1" x14ac:dyDescent="0.25">
      <c r="A232" s="91" t="str">
        <f t="shared" si="5"/>
        <v/>
      </c>
    </row>
    <row r="233" spans="1:1" x14ac:dyDescent="0.25">
      <c r="A233" s="91" t="str">
        <f t="shared" si="5"/>
        <v/>
      </c>
    </row>
    <row r="234" spans="1:1" x14ac:dyDescent="0.25">
      <c r="A234" s="91" t="str">
        <f t="shared" si="5"/>
        <v/>
      </c>
    </row>
    <row r="235" spans="1:1" x14ac:dyDescent="0.25">
      <c r="A235" s="91" t="str">
        <f t="shared" si="5"/>
        <v/>
      </c>
    </row>
    <row r="236" spans="1:1" x14ac:dyDescent="0.25">
      <c r="A236" s="91" t="str">
        <f t="shared" si="5"/>
        <v/>
      </c>
    </row>
    <row r="237" spans="1:1" x14ac:dyDescent="0.25">
      <c r="A237" s="91" t="str">
        <f t="shared" si="5"/>
        <v/>
      </c>
    </row>
    <row r="238" spans="1:1" x14ac:dyDescent="0.25">
      <c r="A238" s="91" t="str">
        <f t="shared" si="5"/>
        <v/>
      </c>
    </row>
    <row r="239" spans="1:1" x14ac:dyDescent="0.25">
      <c r="A239" s="91" t="str">
        <f t="shared" si="5"/>
        <v/>
      </c>
    </row>
    <row r="240" spans="1:1" x14ac:dyDescent="0.25">
      <c r="A240" s="91" t="str">
        <f t="shared" si="5"/>
        <v/>
      </c>
    </row>
    <row r="241" spans="1:1" x14ac:dyDescent="0.25">
      <c r="A241" s="91" t="str">
        <f t="shared" si="5"/>
        <v/>
      </c>
    </row>
    <row r="242" spans="1:1" x14ac:dyDescent="0.25">
      <c r="A242" s="91" t="str">
        <f t="shared" si="5"/>
        <v/>
      </c>
    </row>
    <row r="243" spans="1:1" x14ac:dyDescent="0.25">
      <c r="A243" s="91" t="str">
        <f t="shared" si="5"/>
        <v/>
      </c>
    </row>
    <row r="244" spans="1:1" x14ac:dyDescent="0.25">
      <c r="A244" s="91" t="str">
        <f t="shared" si="5"/>
        <v/>
      </c>
    </row>
    <row r="245" spans="1:1" x14ac:dyDescent="0.25">
      <c r="A245" s="91" t="str">
        <f t="shared" si="5"/>
        <v/>
      </c>
    </row>
    <row r="246" spans="1:1" x14ac:dyDescent="0.25">
      <c r="A246" s="91" t="str">
        <f t="shared" si="5"/>
        <v/>
      </c>
    </row>
    <row r="247" spans="1:1" x14ac:dyDescent="0.25">
      <c r="A247" s="91" t="str">
        <f t="shared" si="5"/>
        <v/>
      </c>
    </row>
    <row r="248" spans="1:1" x14ac:dyDescent="0.25">
      <c r="A248" s="91" t="str">
        <f t="shared" si="5"/>
        <v/>
      </c>
    </row>
    <row r="249" spans="1:1" x14ac:dyDescent="0.25">
      <c r="A249" s="91" t="str">
        <f t="shared" si="5"/>
        <v/>
      </c>
    </row>
    <row r="250" spans="1:1" x14ac:dyDescent="0.25">
      <c r="A250" s="91" t="str">
        <f t="shared" si="5"/>
        <v/>
      </c>
    </row>
    <row r="251" spans="1:1" x14ac:dyDescent="0.25">
      <c r="A251" s="91" t="str">
        <f t="shared" si="5"/>
        <v/>
      </c>
    </row>
    <row r="252" spans="1:1" x14ac:dyDescent="0.25">
      <c r="A252" s="91" t="str">
        <f t="shared" si="5"/>
        <v/>
      </c>
    </row>
    <row r="253" spans="1:1" x14ac:dyDescent="0.25">
      <c r="A253" s="91" t="str">
        <f t="shared" si="5"/>
        <v/>
      </c>
    </row>
    <row r="254" spans="1:1" x14ac:dyDescent="0.25">
      <c r="A254" s="91" t="str">
        <f t="shared" si="5"/>
        <v/>
      </c>
    </row>
    <row r="255" spans="1:1" x14ac:dyDescent="0.25">
      <c r="A255" s="91" t="str">
        <f t="shared" si="5"/>
        <v/>
      </c>
    </row>
    <row r="256" spans="1:1" x14ac:dyDescent="0.25">
      <c r="A256" s="91" t="str">
        <f t="shared" si="5"/>
        <v/>
      </c>
    </row>
    <row r="257" spans="1:1" x14ac:dyDescent="0.25">
      <c r="A257" s="91" t="str">
        <f t="shared" si="5"/>
        <v/>
      </c>
    </row>
    <row r="258" spans="1:1" x14ac:dyDescent="0.25">
      <c r="A258" s="91" t="str">
        <f t="shared" si="5"/>
        <v/>
      </c>
    </row>
    <row r="259" spans="1:1" x14ac:dyDescent="0.25">
      <c r="A259" s="91" t="str">
        <f t="shared" si="5"/>
        <v/>
      </c>
    </row>
    <row r="260" spans="1:1" x14ac:dyDescent="0.25">
      <c r="A260" s="91" t="str">
        <f t="shared" si="5"/>
        <v/>
      </c>
    </row>
    <row r="261" spans="1:1" x14ac:dyDescent="0.25">
      <c r="A261" s="91" t="str">
        <f t="shared" si="5"/>
        <v/>
      </c>
    </row>
    <row r="262" spans="1:1" x14ac:dyDescent="0.25">
      <c r="A262" s="91" t="str">
        <f t="shared" si="5"/>
        <v/>
      </c>
    </row>
    <row r="263" spans="1:1" x14ac:dyDescent="0.25">
      <c r="A263" s="91" t="str">
        <f t="shared" si="5"/>
        <v/>
      </c>
    </row>
    <row r="264" spans="1:1" x14ac:dyDescent="0.25">
      <c r="A264" s="91" t="str">
        <f t="shared" si="5"/>
        <v/>
      </c>
    </row>
    <row r="265" spans="1:1" x14ac:dyDescent="0.25">
      <c r="A265" s="91" t="str">
        <f t="shared" si="5"/>
        <v/>
      </c>
    </row>
    <row r="266" spans="1:1" x14ac:dyDescent="0.25">
      <c r="A266" s="91" t="str">
        <f t="shared" si="5"/>
        <v/>
      </c>
    </row>
    <row r="267" spans="1:1" x14ac:dyDescent="0.25">
      <c r="A267" s="91" t="str">
        <f t="shared" si="5"/>
        <v/>
      </c>
    </row>
    <row r="268" spans="1:1" x14ac:dyDescent="0.25">
      <c r="A268" s="91" t="str">
        <f t="shared" si="5"/>
        <v/>
      </c>
    </row>
    <row r="269" spans="1:1" x14ac:dyDescent="0.25">
      <c r="A269" s="91" t="str">
        <f t="shared" si="5"/>
        <v/>
      </c>
    </row>
    <row r="270" spans="1:1" x14ac:dyDescent="0.25">
      <c r="A270" s="91" t="str">
        <f t="shared" si="5"/>
        <v/>
      </c>
    </row>
    <row r="271" spans="1:1" x14ac:dyDescent="0.25">
      <c r="A271" s="91" t="str">
        <f t="shared" si="5"/>
        <v/>
      </c>
    </row>
    <row r="272" spans="1:1" x14ac:dyDescent="0.25">
      <c r="A272" s="91" t="str">
        <f t="shared" si="5"/>
        <v/>
      </c>
    </row>
    <row r="273" spans="1:1" x14ac:dyDescent="0.25">
      <c r="A273" s="91" t="str">
        <f t="shared" si="5"/>
        <v/>
      </c>
    </row>
    <row r="274" spans="1:1" x14ac:dyDescent="0.25">
      <c r="A274" s="91" t="str">
        <f t="shared" si="5"/>
        <v/>
      </c>
    </row>
    <row r="275" spans="1:1" x14ac:dyDescent="0.25">
      <c r="A275" s="91" t="str">
        <f t="shared" si="5"/>
        <v/>
      </c>
    </row>
    <row r="276" spans="1:1" x14ac:dyDescent="0.25">
      <c r="A276" s="91" t="str">
        <f t="shared" si="5"/>
        <v/>
      </c>
    </row>
    <row r="277" spans="1:1" x14ac:dyDescent="0.25">
      <c r="A277" s="91" t="str">
        <f t="shared" si="5"/>
        <v/>
      </c>
    </row>
    <row r="278" spans="1:1" x14ac:dyDescent="0.25">
      <c r="A278" s="91" t="str">
        <f t="shared" si="5"/>
        <v/>
      </c>
    </row>
    <row r="279" spans="1:1" x14ac:dyDescent="0.25">
      <c r="A279" s="91" t="str">
        <f t="shared" si="5"/>
        <v/>
      </c>
    </row>
    <row r="280" spans="1:1" x14ac:dyDescent="0.25">
      <c r="A280" s="91" t="str">
        <f t="shared" si="5"/>
        <v/>
      </c>
    </row>
    <row r="281" spans="1:1" x14ac:dyDescent="0.25">
      <c r="A281" s="91" t="str">
        <f t="shared" si="5"/>
        <v/>
      </c>
    </row>
    <row r="282" spans="1:1" x14ac:dyDescent="0.25">
      <c r="A282" s="91" t="str">
        <f t="shared" si="5"/>
        <v/>
      </c>
    </row>
    <row r="283" spans="1:1" x14ac:dyDescent="0.25">
      <c r="A283" s="91" t="str">
        <f t="shared" si="5"/>
        <v/>
      </c>
    </row>
    <row r="284" spans="1:1" x14ac:dyDescent="0.25">
      <c r="A284" s="91" t="str">
        <f t="shared" si="5"/>
        <v/>
      </c>
    </row>
    <row r="285" spans="1:1" x14ac:dyDescent="0.25">
      <c r="A285" s="91" t="str">
        <f t="shared" si="5"/>
        <v/>
      </c>
    </row>
    <row r="286" spans="1:1" x14ac:dyDescent="0.25">
      <c r="A286" s="91" t="str">
        <f t="shared" si="5"/>
        <v/>
      </c>
    </row>
    <row r="287" spans="1:1" x14ac:dyDescent="0.25">
      <c r="A287" s="91" t="str">
        <f t="shared" si="5"/>
        <v/>
      </c>
    </row>
    <row r="288" spans="1:1" x14ac:dyDescent="0.25">
      <c r="A288" s="91" t="str">
        <f t="shared" si="5"/>
        <v/>
      </c>
    </row>
    <row r="289" spans="1:1" x14ac:dyDescent="0.25">
      <c r="A289" s="91" t="str">
        <f t="shared" si="5"/>
        <v/>
      </c>
    </row>
    <row r="290" spans="1:1" x14ac:dyDescent="0.25">
      <c r="A290" s="91" t="str">
        <f t="shared" ref="A290:A353" si="6">IF(AND(B289&lt;&gt;"",B290=""),"New entry---&gt;","")</f>
        <v/>
      </c>
    </row>
    <row r="291" spans="1:1" x14ac:dyDescent="0.25">
      <c r="A291" s="91" t="str">
        <f t="shared" si="6"/>
        <v/>
      </c>
    </row>
    <row r="292" spans="1:1" x14ac:dyDescent="0.25">
      <c r="A292" s="91" t="str">
        <f t="shared" si="6"/>
        <v/>
      </c>
    </row>
    <row r="293" spans="1:1" x14ac:dyDescent="0.25">
      <c r="A293" s="91" t="str">
        <f t="shared" si="6"/>
        <v/>
      </c>
    </row>
    <row r="294" spans="1:1" x14ac:dyDescent="0.25">
      <c r="A294" s="91" t="str">
        <f t="shared" si="6"/>
        <v/>
      </c>
    </row>
    <row r="295" spans="1:1" x14ac:dyDescent="0.25">
      <c r="A295" s="91" t="str">
        <f t="shared" si="6"/>
        <v/>
      </c>
    </row>
    <row r="296" spans="1:1" x14ac:dyDescent="0.25">
      <c r="A296" s="91" t="str">
        <f t="shared" si="6"/>
        <v/>
      </c>
    </row>
    <row r="297" spans="1:1" x14ac:dyDescent="0.25">
      <c r="A297" s="91" t="str">
        <f t="shared" si="6"/>
        <v/>
      </c>
    </row>
    <row r="298" spans="1:1" x14ac:dyDescent="0.25">
      <c r="A298" s="91" t="str">
        <f t="shared" si="6"/>
        <v/>
      </c>
    </row>
    <row r="299" spans="1:1" x14ac:dyDescent="0.25">
      <c r="A299" s="91" t="str">
        <f t="shared" si="6"/>
        <v/>
      </c>
    </row>
    <row r="300" spans="1:1" x14ac:dyDescent="0.25">
      <c r="A300" s="91" t="str">
        <f t="shared" si="6"/>
        <v/>
      </c>
    </row>
    <row r="301" spans="1:1" x14ac:dyDescent="0.25">
      <c r="A301" s="91" t="str">
        <f t="shared" si="6"/>
        <v/>
      </c>
    </row>
    <row r="302" spans="1:1" x14ac:dyDescent="0.25">
      <c r="A302" s="91" t="str">
        <f t="shared" si="6"/>
        <v/>
      </c>
    </row>
    <row r="303" spans="1:1" x14ac:dyDescent="0.25">
      <c r="A303" s="91" t="str">
        <f t="shared" si="6"/>
        <v/>
      </c>
    </row>
    <row r="304" spans="1:1" x14ac:dyDescent="0.25">
      <c r="A304" s="91" t="str">
        <f t="shared" si="6"/>
        <v/>
      </c>
    </row>
    <row r="305" spans="1:1" x14ac:dyDescent="0.25">
      <c r="A305" s="91" t="str">
        <f t="shared" si="6"/>
        <v/>
      </c>
    </row>
    <row r="306" spans="1:1" x14ac:dyDescent="0.25">
      <c r="A306" s="91" t="str">
        <f t="shared" si="6"/>
        <v/>
      </c>
    </row>
    <row r="307" spans="1:1" x14ac:dyDescent="0.25">
      <c r="A307" s="91" t="str">
        <f t="shared" si="6"/>
        <v/>
      </c>
    </row>
    <row r="308" spans="1:1" x14ac:dyDescent="0.25">
      <c r="A308" s="91" t="str">
        <f t="shared" si="6"/>
        <v/>
      </c>
    </row>
    <row r="309" spans="1:1" x14ac:dyDescent="0.25">
      <c r="A309" s="91" t="str">
        <f t="shared" si="6"/>
        <v/>
      </c>
    </row>
    <row r="310" spans="1:1" x14ac:dyDescent="0.25">
      <c r="A310" s="91" t="str">
        <f t="shared" si="6"/>
        <v/>
      </c>
    </row>
    <row r="311" spans="1:1" x14ac:dyDescent="0.25">
      <c r="A311" s="91" t="str">
        <f t="shared" si="6"/>
        <v/>
      </c>
    </row>
    <row r="312" spans="1:1" x14ac:dyDescent="0.25">
      <c r="A312" s="91" t="str">
        <f t="shared" si="6"/>
        <v/>
      </c>
    </row>
    <row r="313" spans="1:1" x14ac:dyDescent="0.25">
      <c r="A313" s="91" t="str">
        <f t="shared" si="6"/>
        <v/>
      </c>
    </row>
    <row r="314" spans="1:1" x14ac:dyDescent="0.25">
      <c r="A314" s="91" t="str">
        <f t="shared" si="6"/>
        <v/>
      </c>
    </row>
    <row r="315" spans="1:1" x14ac:dyDescent="0.25">
      <c r="A315" s="91" t="str">
        <f t="shared" si="6"/>
        <v/>
      </c>
    </row>
    <row r="316" spans="1:1" x14ac:dyDescent="0.25">
      <c r="A316" s="91" t="str">
        <f t="shared" si="6"/>
        <v/>
      </c>
    </row>
    <row r="317" spans="1:1" x14ac:dyDescent="0.25">
      <c r="A317" s="91" t="str">
        <f t="shared" si="6"/>
        <v/>
      </c>
    </row>
    <row r="318" spans="1:1" x14ac:dyDescent="0.25">
      <c r="A318" s="91" t="str">
        <f t="shared" si="6"/>
        <v/>
      </c>
    </row>
    <row r="319" spans="1:1" x14ac:dyDescent="0.25">
      <c r="A319" s="91" t="str">
        <f t="shared" si="6"/>
        <v/>
      </c>
    </row>
    <row r="320" spans="1:1" x14ac:dyDescent="0.25">
      <c r="A320" s="91" t="str">
        <f t="shared" si="6"/>
        <v/>
      </c>
    </row>
    <row r="321" spans="1:1" x14ac:dyDescent="0.25">
      <c r="A321" s="91" t="str">
        <f t="shared" si="6"/>
        <v/>
      </c>
    </row>
    <row r="322" spans="1:1" x14ac:dyDescent="0.25">
      <c r="A322" s="91" t="str">
        <f t="shared" si="6"/>
        <v/>
      </c>
    </row>
    <row r="323" spans="1:1" x14ac:dyDescent="0.25">
      <c r="A323" s="91" t="str">
        <f t="shared" si="6"/>
        <v/>
      </c>
    </row>
    <row r="324" spans="1:1" x14ac:dyDescent="0.25">
      <c r="A324" s="91" t="str">
        <f t="shared" si="6"/>
        <v/>
      </c>
    </row>
    <row r="325" spans="1:1" x14ac:dyDescent="0.25">
      <c r="A325" s="91" t="str">
        <f t="shared" si="6"/>
        <v/>
      </c>
    </row>
    <row r="326" spans="1:1" x14ac:dyDescent="0.25">
      <c r="A326" s="91" t="str">
        <f t="shared" si="6"/>
        <v/>
      </c>
    </row>
    <row r="327" spans="1:1" x14ac:dyDescent="0.25">
      <c r="A327" s="91" t="str">
        <f t="shared" si="6"/>
        <v/>
      </c>
    </row>
    <row r="328" spans="1:1" x14ac:dyDescent="0.25">
      <c r="A328" s="91" t="str">
        <f t="shared" si="6"/>
        <v/>
      </c>
    </row>
    <row r="329" spans="1:1" x14ac:dyDescent="0.25">
      <c r="A329" s="91" t="str">
        <f t="shared" si="6"/>
        <v/>
      </c>
    </row>
    <row r="330" spans="1:1" x14ac:dyDescent="0.25">
      <c r="A330" s="91" t="str">
        <f t="shared" si="6"/>
        <v/>
      </c>
    </row>
    <row r="331" spans="1:1" x14ac:dyDescent="0.25">
      <c r="A331" s="91" t="str">
        <f t="shared" si="6"/>
        <v/>
      </c>
    </row>
    <row r="332" spans="1:1" x14ac:dyDescent="0.25">
      <c r="A332" s="91" t="str">
        <f t="shared" si="6"/>
        <v/>
      </c>
    </row>
    <row r="333" spans="1:1" x14ac:dyDescent="0.25">
      <c r="A333" s="91" t="str">
        <f t="shared" si="6"/>
        <v/>
      </c>
    </row>
    <row r="334" spans="1:1" x14ac:dyDescent="0.25">
      <c r="A334" s="91" t="str">
        <f t="shared" si="6"/>
        <v/>
      </c>
    </row>
    <row r="335" spans="1:1" x14ac:dyDescent="0.25">
      <c r="A335" s="91" t="str">
        <f t="shared" si="6"/>
        <v/>
      </c>
    </row>
    <row r="336" spans="1:1" x14ac:dyDescent="0.25">
      <c r="A336" s="91" t="str">
        <f t="shared" si="6"/>
        <v/>
      </c>
    </row>
    <row r="337" spans="1:1" x14ac:dyDescent="0.25">
      <c r="A337" s="91" t="str">
        <f t="shared" si="6"/>
        <v/>
      </c>
    </row>
    <row r="338" spans="1:1" x14ac:dyDescent="0.25">
      <c r="A338" s="91" t="str">
        <f t="shared" si="6"/>
        <v/>
      </c>
    </row>
    <row r="339" spans="1:1" x14ac:dyDescent="0.25">
      <c r="A339" s="91" t="str">
        <f t="shared" si="6"/>
        <v/>
      </c>
    </row>
    <row r="340" spans="1:1" x14ac:dyDescent="0.25">
      <c r="A340" s="91" t="str">
        <f t="shared" si="6"/>
        <v/>
      </c>
    </row>
    <row r="341" spans="1:1" x14ac:dyDescent="0.25">
      <c r="A341" s="91" t="str">
        <f t="shared" si="6"/>
        <v/>
      </c>
    </row>
    <row r="342" spans="1:1" x14ac:dyDescent="0.25">
      <c r="A342" s="91" t="str">
        <f t="shared" si="6"/>
        <v/>
      </c>
    </row>
    <row r="343" spans="1:1" x14ac:dyDescent="0.25">
      <c r="A343" s="91" t="str">
        <f t="shared" si="6"/>
        <v/>
      </c>
    </row>
    <row r="344" spans="1:1" x14ac:dyDescent="0.25">
      <c r="A344" s="91" t="str">
        <f t="shared" si="6"/>
        <v/>
      </c>
    </row>
    <row r="345" spans="1:1" x14ac:dyDescent="0.25">
      <c r="A345" s="91" t="str">
        <f t="shared" si="6"/>
        <v/>
      </c>
    </row>
    <row r="346" spans="1:1" x14ac:dyDescent="0.25">
      <c r="A346" s="91" t="str">
        <f t="shared" si="6"/>
        <v/>
      </c>
    </row>
    <row r="347" spans="1:1" x14ac:dyDescent="0.25">
      <c r="A347" s="91" t="str">
        <f t="shared" si="6"/>
        <v/>
      </c>
    </row>
    <row r="348" spans="1:1" x14ac:dyDescent="0.25">
      <c r="A348" s="91" t="str">
        <f t="shared" si="6"/>
        <v/>
      </c>
    </row>
    <row r="349" spans="1:1" x14ac:dyDescent="0.25">
      <c r="A349" s="91" t="str">
        <f t="shared" si="6"/>
        <v/>
      </c>
    </row>
    <row r="350" spans="1:1" x14ac:dyDescent="0.25">
      <c r="A350" s="91" t="str">
        <f t="shared" si="6"/>
        <v/>
      </c>
    </row>
    <row r="351" spans="1:1" x14ac:dyDescent="0.25">
      <c r="A351" s="91" t="str">
        <f t="shared" si="6"/>
        <v/>
      </c>
    </row>
    <row r="352" spans="1:1" x14ac:dyDescent="0.25">
      <c r="A352" s="91" t="str">
        <f t="shared" si="6"/>
        <v/>
      </c>
    </row>
    <row r="353" spans="1:1" x14ac:dyDescent="0.25">
      <c r="A353" s="91" t="str">
        <f t="shared" si="6"/>
        <v/>
      </c>
    </row>
    <row r="354" spans="1:1" x14ac:dyDescent="0.25">
      <c r="A354" s="91" t="str">
        <f t="shared" ref="A354:A417" si="7">IF(AND(B353&lt;&gt;"",B354=""),"New entry---&gt;","")</f>
        <v/>
      </c>
    </row>
    <row r="355" spans="1:1" x14ac:dyDescent="0.25">
      <c r="A355" s="91" t="str">
        <f t="shared" si="7"/>
        <v/>
      </c>
    </row>
    <row r="356" spans="1:1" x14ac:dyDescent="0.25">
      <c r="A356" s="91" t="str">
        <f t="shared" si="7"/>
        <v/>
      </c>
    </row>
    <row r="357" spans="1:1" x14ac:dyDescent="0.25">
      <c r="A357" s="91" t="str">
        <f t="shared" si="7"/>
        <v/>
      </c>
    </row>
    <row r="358" spans="1:1" x14ac:dyDescent="0.25">
      <c r="A358" s="91" t="str">
        <f t="shared" si="7"/>
        <v/>
      </c>
    </row>
    <row r="359" spans="1:1" x14ac:dyDescent="0.25">
      <c r="A359" s="91" t="str">
        <f t="shared" si="7"/>
        <v/>
      </c>
    </row>
    <row r="360" spans="1:1" x14ac:dyDescent="0.25">
      <c r="A360" s="91" t="str">
        <f t="shared" si="7"/>
        <v/>
      </c>
    </row>
    <row r="361" spans="1:1" x14ac:dyDescent="0.25">
      <c r="A361" s="91" t="str">
        <f t="shared" si="7"/>
        <v/>
      </c>
    </row>
    <row r="362" spans="1:1" x14ac:dyDescent="0.25">
      <c r="A362" s="91" t="str">
        <f t="shared" si="7"/>
        <v/>
      </c>
    </row>
    <row r="363" spans="1:1" x14ac:dyDescent="0.25">
      <c r="A363" s="91" t="str">
        <f t="shared" si="7"/>
        <v/>
      </c>
    </row>
    <row r="364" spans="1:1" x14ac:dyDescent="0.25">
      <c r="A364" s="91" t="str">
        <f t="shared" si="7"/>
        <v/>
      </c>
    </row>
    <row r="365" spans="1:1" x14ac:dyDescent="0.25">
      <c r="A365" s="91" t="str">
        <f t="shared" si="7"/>
        <v/>
      </c>
    </row>
    <row r="366" spans="1:1" x14ac:dyDescent="0.25">
      <c r="A366" s="91" t="str">
        <f t="shared" si="7"/>
        <v/>
      </c>
    </row>
    <row r="367" spans="1:1" x14ac:dyDescent="0.25">
      <c r="A367" s="91" t="str">
        <f t="shared" si="7"/>
        <v/>
      </c>
    </row>
    <row r="368" spans="1:1" x14ac:dyDescent="0.25">
      <c r="A368" s="91" t="str">
        <f t="shared" si="7"/>
        <v/>
      </c>
    </row>
    <row r="369" spans="1:1" x14ac:dyDescent="0.25">
      <c r="A369" s="91" t="str">
        <f t="shared" si="7"/>
        <v/>
      </c>
    </row>
    <row r="370" spans="1:1" x14ac:dyDescent="0.25">
      <c r="A370" s="91" t="str">
        <f t="shared" si="7"/>
        <v/>
      </c>
    </row>
    <row r="371" spans="1:1" x14ac:dyDescent="0.25">
      <c r="A371" s="91" t="str">
        <f t="shared" si="7"/>
        <v/>
      </c>
    </row>
    <row r="372" spans="1:1" x14ac:dyDescent="0.25">
      <c r="A372" s="91" t="str">
        <f t="shared" si="7"/>
        <v/>
      </c>
    </row>
    <row r="373" spans="1:1" x14ac:dyDescent="0.25">
      <c r="A373" s="91" t="str">
        <f t="shared" si="7"/>
        <v/>
      </c>
    </row>
    <row r="374" spans="1:1" x14ac:dyDescent="0.25">
      <c r="A374" s="91" t="str">
        <f t="shared" si="7"/>
        <v/>
      </c>
    </row>
    <row r="375" spans="1:1" x14ac:dyDescent="0.25">
      <c r="A375" s="91" t="str">
        <f t="shared" si="7"/>
        <v/>
      </c>
    </row>
    <row r="376" spans="1:1" x14ac:dyDescent="0.25">
      <c r="A376" s="91" t="str">
        <f t="shared" si="7"/>
        <v/>
      </c>
    </row>
    <row r="377" spans="1:1" x14ac:dyDescent="0.25">
      <c r="A377" s="91" t="str">
        <f t="shared" si="7"/>
        <v/>
      </c>
    </row>
    <row r="378" spans="1:1" x14ac:dyDescent="0.25">
      <c r="A378" s="91" t="str">
        <f t="shared" si="7"/>
        <v/>
      </c>
    </row>
    <row r="379" spans="1:1" x14ac:dyDescent="0.25">
      <c r="A379" s="91" t="str">
        <f t="shared" si="7"/>
        <v/>
      </c>
    </row>
    <row r="380" spans="1:1" x14ac:dyDescent="0.25">
      <c r="A380" s="91" t="str">
        <f t="shared" si="7"/>
        <v/>
      </c>
    </row>
    <row r="381" spans="1:1" x14ac:dyDescent="0.25">
      <c r="A381" s="91" t="str">
        <f t="shared" si="7"/>
        <v/>
      </c>
    </row>
    <row r="382" spans="1:1" x14ac:dyDescent="0.25">
      <c r="A382" s="91" t="str">
        <f t="shared" si="7"/>
        <v/>
      </c>
    </row>
    <row r="383" spans="1:1" x14ac:dyDescent="0.25">
      <c r="A383" s="91" t="str">
        <f t="shared" si="7"/>
        <v/>
      </c>
    </row>
    <row r="384" spans="1:1" x14ac:dyDescent="0.25">
      <c r="A384" s="91" t="str">
        <f t="shared" si="7"/>
        <v/>
      </c>
    </row>
    <row r="385" spans="1:1" x14ac:dyDescent="0.25">
      <c r="A385" s="91" t="str">
        <f t="shared" si="7"/>
        <v/>
      </c>
    </row>
    <row r="386" spans="1:1" x14ac:dyDescent="0.25">
      <c r="A386" s="91" t="str">
        <f t="shared" si="7"/>
        <v/>
      </c>
    </row>
    <row r="387" spans="1:1" x14ac:dyDescent="0.25">
      <c r="A387" s="91" t="str">
        <f t="shared" si="7"/>
        <v/>
      </c>
    </row>
    <row r="388" spans="1:1" x14ac:dyDescent="0.25">
      <c r="A388" s="91" t="str">
        <f t="shared" si="7"/>
        <v/>
      </c>
    </row>
    <row r="389" spans="1:1" x14ac:dyDescent="0.25">
      <c r="A389" s="91" t="str">
        <f t="shared" si="7"/>
        <v/>
      </c>
    </row>
    <row r="390" spans="1:1" x14ac:dyDescent="0.25">
      <c r="A390" s="91" t="str">
        <f t="shared" si="7"/>
        <v/>
      </c>
    </row>
    <row r="391" spans="1:1" x14ac:dyDescent="0.25">
      <c r="A391" s="91" t="str">
        <f t="shared" si="7"/>
        <v/>
      </c>
    </row>
    <row r="392" spans="1:1" x14ac:dyDescent="0.25">
      <c r="A392" s="91" t="str">
        <f t="shared" si="7"/>
        <v/>
      </c>
    </row>
    <row r="393" spans="1:1" x14ac:dyDescent="0.25">
      <c r="A393" s="91" t="str">
        <f t="shared" si="7"/>
        <v/>
      </c>
    </row>
    <row r="394" spans="1:1" x14ac:dyDescent="0.25">
      <c r="A394" s="91" t="str">
        <f t="shared" si="7"/>
        <v/>
      </c>
    </row>
    <row r="395" spans="1:1" x14ac:dyDescent="0.25">
      <c r="A395" s="91" t="str">
        <f t="shared" si="7"/>
        <v/>
      </c>
    </row>
    <row r="396" spans="1:1" x14ac:dyDescent="0.25">
      <c r="A396" s="91" t="str">
        <f t="shared" si="7"/>
        <v/>
      </c>
    </row>
    <row r="397" spans="1:1" x14ac:dyDescent="0.25">
      <c r="A397" s="91" t="str">
        <f t="shared" si="7"/>
        <v/>
      </c>
    </row>
    <row r="398" spans="1:1" x14ac:dyDescent="0.25">
      <c r="A398" s="91" t="str">
        <f t="shared" si="7"/>
        <v/>
      </c>
    </row>
    <row r="399" spans="1:1" x14ac:dyDescent="0.25">
      <c r="A399" s="91" t="str">
        <f t="shared" si="7"/>
        <v/>
      </c>
    </row>
    <row r="400" spans="1:1" x14ac:dyDescent="0.25">
      <c r="A400" s="91" t="str">
        <f t="shared" si="7"/>
        <v/>
      </c>
    </row>
    <row r="401" spans="1:1" x14ac:dyDescent="0.25">
      <c r="A401" s="91" t="str">
        <f t="shared" si="7"/>
        <v/>
      </c>
    </row>
    <row r="402" spans="1:1" x14ac:dyDescent="0.25">
      <c r="A402" s="91" t="str">
        <f t="shared" si="7"/>
        <v/>
      </c>
    </row>
    <row r="403" spans="1:1" x14ac:dyDescent="0.25">
      <c r="A403" s="91" t="str">
        <f t="shared" si="7"/>
        <v/>
      </c>
    </row>
    <row r="404" spans="1:1" x14ac:dyDescent="0.25">
      <c r="A404" s="91" t="str">
        <f t="shared" si="7"/>
        <v/>
      </c>
    </row>
    <row r="405" spans="1:1" x14ac:dyDescent="0.25">
      <c r="A405" s="91" t="str">
        <f t="shared" si="7"/>
        <v/>
      </c>
    </row>
    <row r="406" spans="1:1" x14ac:dyDescent="0.25">
      <c r="A406" s="91" t="str">
        <f t="shared" si="7"/>
        <v/>
      </c>
    </row>
    <row r="407" spans="1:1" x14ac:dyDescent="0.25">
      <c r="A407" s="91" t="str">
        <f t="shared" si="7"/>
        <v/>
      </c>
    </row>
    <row r="408" spans="1:1" x14ac:dyDescent="0.25">
      <c r="A408" s="91" t="str">
        <f t="shared" si="7"/>
        <v/>
      </c>
    </row>
    <row r="409" spans="1:1" x14ac:dyDescent="0.25">
      <c r="A409" s="91" t="str">
        <f t="shared" si="7"/>
        <v/>
      </c>
    </row>
    <row r="410" spans="1:1" x14ac:dyDescent="0.25">
      <c r="A410" s="91" t="str">
        <f t="shared" si="7"/>
        <v/>
      </c>
    </row>
    <row r="411" spans="1:1" x14ac:dyDescent="0.25">
      <c r="A411" s="91" t="str">
        <f t="shared" si="7"/>
        <v/>
      </c>
    </row>
    <row r="412" spans="1:1" x14ac:dyDescent="0.25">
      <c r="A412" s="91" t="str">
        <f t="shared" si="7"/>
        <v/>
      </c>
    </row>
    <row r="413" spans="1:1" x14ac:dyDescent="0.25">
      <c r="A413" s="91" t="str">
        <f t="shared" si="7"/>
        <v/>
      </c>
    </row>
    <row r="414" spans="1:1" x14ac:dyDescent="0.25">
      <c r="A414" s="91" t="str">
        <f t="shared" si="7"/>
        <v/>
      </c>
    </row>
    <row r="415" spans="1:1" x14ac:dyDescent="0.25">
      <c r="A415" s="91" t="str">
        <f t="shared" si="7"/>
        <v/>
      </c>
    </row>
    <row r="416" spans="1:1" x14ac:dyDescent="0.25">
      <c r="A416" s="91" t="str">
        <f t="shared" si="7"/>
        <v/>
      </c>
    </row>
    <row r="417" spans="1:1" x14ac:dyDescent="0.25">
      <c r="A417" s="91" t="str">
        <f t="shared" si="7"/>
        <v/>
      </c>
    </row>
    <row r="418" spans="1:1" x14ac:dyDescent="0.25">
      <c r="A418" s="91" t="str">
        <f t="shared" ref="A418:A481" si="8">IF(AND(B417&lt;&gt;"",B418=""),"New entry---&gt;","")</f>
        <v/>
      </c>
    </row>
    <row r="419" spans="1:1" x14ac:dyDescent="0.25">
      <c r="A419" s="91" t="str">
        <f t="shared" si="8"/>
        <v/>
      </c>
    </row>
    <row r="420" spans="1:1" x14ac:dyDescent="0.25">
      <c r="A420" s="91" t="str">
        <f t="shared" si="8"/>
        <v/>
      </c>
    </row>
    <row r="421" spans="1:1" x14ac:dyDescent="0.25">
      <c r="A421" s="91" t="str">
        <f t="shared" si="8"/>
        <v/>
      </c>
    </row>
    <row r="422" spans="1:1" x14ac:dyDescent="0.25">
      <c r="A422" s="91" t="str">
        <f t="shared" si="8"/>
        <v/>
      </c>
    </row>
    <row r="423" spans="1:1" x14ac:dyDescent="0.25">
      <c r="A423" s="91" t="str">
        <f t="shared" si="8"/>
        <v/>
      </c>
    </row>
    <row r="424" spans="1:1" x14ac:dyDescent="0.25">
      <c r="A424" s="91" t="str">
        <f t="shared" si="8"/>
        <v/>
      </c>
    </row>
    <row r="425" spans="1:1" x14ac:dyDescent="0.25">
      <c r="A425" s="91" t="str">
        <f t="shared" si="8"/>
        <v/>
      </c>
    </row>
    <row r="426" spans="1:1" x14ac:dyDescent="0.25">
      <c r="A426" s="91" t="str">
        <f t="shared" si="8"/>
        <v/>
      </c>
    </row>
    <row r="427" spans="1:1" x14ac:dyDescent="0.25">
      <c r="A427" s="91" t="str">
        <f t="shared" si="8"/>
        <v/>
      </c>
    </row>
    <row r="428" spans="1:1" x14ac:dyDescent="0.25">
      <c r="A428" s="91" t="str">
        <f t="shared" si="8"/>
        <v/>
      </c>
    </row>
    <row r="429" spans="1:1" x14ac:dyDescent="0.25">
      <c r="A429" s="91" t="str">
        <f t="shared" si="8"/>
        <v/>
      </c>
    </row>
    <row r="430" spans="1:1" x14ac:dyDescent="0.25">
      <c r="A430" s="91" t="str">
        <f t="shared" si="8"/>
        <v/>
      </c>
    </row>
    <row r="431" spans="1:1" x14ac:dyDescent="0.25">
      <c r="A431" s="91" t="str">
        <f t="shared" si="8"/>
        <v/>
      </c>
    </row>
    <row r="432" spans="1:1" x14ac:dyDescent="0.25">
      <c r="A432" s="91" t="str">
        <f t="shared" si="8"/>
        <v/>
      </c>
    </row>
    <row r="433" spans="1:1" x14ac:dyDescent="0.25">
      <c r="A433" s="91" t="str">
        <f t="shared" si="8"/>
        <v/>
      </c>
    </row>
    <row r="434" spans="1:1" x14ac:dyDescent="0.25">
      <c r="A434" s="91" t="str">
        <f t="shared" si="8"/>
        <v/>
      </c>
    </row>
    <row r="435" spans="1:1" x14ac:dyDescent="0.25">
      <c r="A435" s="91" t="str">
        <f t="shared" si="8"/>
        <v/>
      </c>
    </row>
    <row r="436" spans="1:1" x14ac:dyDescent="0.25">
      <c r="A436" s="91" t="str">
        <f t="shared" si="8"/>
        <v/>
      </c>
    </row>
    <row r="437" spans="1:1" x14ac:dyDescent="0.25">
      <c r="A437" s="91" t="str">
        <f t="shared" si="8"/>
        <v/>
      </c>
    </row>
    <row r="438" spans="1:1" x14ac:dyDescent="0.25">
      <c r="A438" s="91" t="str">
        <f t="shared" si="8"/>
        <v/>
      </c>
    </row>
    <row r="439" spans="1:1" x14ac:dyDescent="0.25">
      <c r="A439" s="91" t="str">
        <f t="shared" si="8"/>
        <v/>
      </c>
    </row>
    <row r="440" spans="1:1" x14ac:dyDescent="0.25">
      <c r="A440" s="91" t="str">
        <f t="shared" si="8"/>
        <v/>
      </c>
    </row>
    <row r="441" spans="1:1" x14ac:dyDescent="0.25">
      <c r="A441" s="91" t="str">
        <f t="shared" si="8"/>
        <v/>
      </c>
    </row>
    <row r="442" spans="1:1" x14ac:dyDescent="0.25">
      <c r="A442" s="91" t="str">
        <f t="shared" si="8"/>
        <v/>
      </c>
    </row>
    <row r="443" spans="1:1" x14ac:dyDescent="0.25">
      <c r="A443" s="91" t="str">
        <f t="shared" si="8"/>
        <v/>
      </c>
    </row>
    <row r="444" spans="1:1" x14ac:dyDescent="0.25">
      <c r="A444" s="91" t="str">
        <f t="shared" si="8"/>
        <v/>
      </c>
    </row>
    <row r="445" spans="1:1" x14ac:dyDescent="0.25">
      <c r="A445" s="91" t="str">
        <f t="shared" si="8"/>
        <v/>
      </c>
    </row>
    <row r="446" spans="1:1" x14ac:dyDescent="0.25">
      <c r="A446" s="91" t="str">
        <f t="shared" si="8"/>
        <v/>
      </c>
    </row>
    <row r="447" spans="1:1" x14ac:dyDescent="0.25">
      <c r="A447" s="91" t="str">
        <f t="shared" si="8"/>
        <v/>
      </c>
    </row>
    <row r="448" spans="1:1" x14ac:dyDescent="0.25">
      <c r="A448" s="91" t="str">
        <f t="shared" si="8"/>
        <v/>
      </c>
    </row>
    <row r="449" spans="1:1" x14ac:dyDescent="0.25">
      <c r="A449" s="91" t="str">
        <f t="shared" si="8"/>
        <v/>
      </c>
    </row>
    <row r="450" spans="1:1" x14ac:dyDescent="0.25">
      <c r="A450" s="91" t="str">
        <f t="shared" si="8"/>
        <v/>
      </c>
    </row>
    <row r="451" spans="1:1" x14ac:dyDescent="0.25">
      <c r="A451" s="91" t="str">
        <f t="shared" si="8"/>
        <v/>
      </c>
    </row>
    <row r="452" spans="1:1" x14ac:dyDescent="0.25">
      <c r="A452" s="91" t="str">
        <f t="shared" si="8"/>
        <v/>
      </c>
    </row>
    <row r="453" spans="1:1" x14ac:dyDescent="0.25">
      <c r="A453" s="91" t="str">
        <f t="shared" si="8"/>
        <v/>
      </c>
    </row>
    <row r="454" spans="1:1" x14ac:dyDescent="0.25">
      <c r="A454" s="91" t="str">
        <f t="shared" si="8"/>
        <v/>
      </c>
    </row>
    <row r="455" spans="1:1" x14ac:dyDescent="0.25">
      <c r="A455" s="91" t="str">
        <f t="shared" si="8"/>
        <v/>
      </c>
    </row>
    <row r="456" spans="1:1" x14ac:dyDescent="0.25">
      <c r="A456" s="91" t="str">
        <f t="shared" si="8"/>
        <v/>
      </c>
    </row>
    <row r="457" spans="1:1" x14ac:dyDescent="0.25">
      <c r="A457" s="91" t="str">
        <f t="shared" si="8"/>
        <v/>
      </c>
    </row>
    <row r="458" spans="1:1" x14ac:dyDescent="0.25">
      <c r="A458" s="91" t="str">
        <f t="shared" si="8"/>
        <v/>
      </c>
    </row>
    <row r="459" spans="1:1" x14ac:dyDescent="0.25">
      <c r="A459" s="91" t="str">
        <f t="shared" si="8"/>
        <v/>
      </c>
    </row>
    <row r="460" spans="1:1" x14ac:dyDescent="0.25">
      <c r="A460" s="91" t="str">
        <f t="shared" si="8"/>
        <v/>
      </c>
    </row>
    <row r="461" spans="1:1" x14ac:dyDescent="0.25">
      <c r="A461" s="91" t="str">
        <f t="shared" si="8"/>
        <v/>
      </c>
    </row>
    <row r="462" spans="1:1" x14ac:dyDescent="0.25">
      <c r="A462" s="91" t="str">
        <f t="shared" si="8"/>
        <v/>
      </c>
    </row>
    <row r="463" spans="1:1" x14ac:dyDescent="0.25">
      <c r="A463" s="91" t="str">
        <f t="shared" si="8"/>
        <v/>
      </c>
    </row>
    <row r="464" spans="1:1" x14ac:dyDescent="0.25">
      <c r="A464" s="91" t="str">
        <f t="shared" si="8"/>
        <v/>
      </c>
    </row>
    <row r="465" spans="1:1" x14ac:dyDescent="0.25">
      <c r="A465" s="91" t="str">
        <f t="shared" si="8"/>
        <v/>
      </c>
    </row>
    <row r="466" spans="1:1" x14ac:dyDescent="0.25">
      <c r="A466" s="91" t="str">
        <f t="shared" si="8"/>
        <v/>
      </c>
    </row>
    <row r="467" spans="1:1" x14ac:dyDescent="0.25">
      <c r="A467" s="91" t="str">
        <f t="shared" si="8"/>
        <v/>
      </c>
    </row>
    <row r="468" spans="1:1" x14ac:dyDescent="0.25">
      <c r="A468" s="91" t="str">
        <f t="shared" si="8"/>
        <v/>
      </c>
    </row>
    <row r="469" spans="1:1" x14ac:dyDescent="0.25">
      <c r="A469" s="91" t="str">
        <f t="shared" si="8"/>
        <v/>
      </c>
    </row>
    <row r="470" spans="1:1" x14ac:dyDescent="0.25">
      <c r="A470" s="91" t="str">
        <f t="shared" si="8"/>
        <v/>
      </c>
    </row>
    <row r="471" spans="1:1" x14ac:dyDescent="0.25">
      <c r="A471" s="91" t="str">
        <f t="shared" si="8"/>
        <v/>
      </c>
    </row>
    <row r="472" spans="1:1" x14ac:dyDescent="0.25">
      <c r="A472" s="91" t="str">
        <f t="shared" si="8"/>
        <v/>
      </c>
    </row>
    <row r="473" spans="1:1" x14ac:dyDescent="0.25">
      <c r="A473" s="91" t="str">
        <f t="shared" si="8"/>
        <v/>
      </c>
    </row>
    <row r="474" spans="1:1" x14ac:dyDescent="0.25">
      <c r="A474" s="91" t="str">
        <f t="shared" si="8"/>
        <v/>
      </c>
    </row>
    <row r="475" spans="1:1" x14ac:dyDescent="0.25">
      <c r="A475" s="91" t="str">
        <f t="shared" si="8"/>
        <v/>
      </c>
    </row>
    <row r="476" spans="1:1" x14ac:dyDescent="0.25">
      <c r="A476" s="91" t="str">
        <f t="shared" si="8"/>
        <v/>
      </c>
    </row>
    <row r="477" spans="1:1" x14ac:dyDescent="0.25">
      <c r="A477" s="91" t="str">
        <f t="shared" si="8"/>
        <v/>
      </c>
    </row>
    <row r="478" spans="1:1" x14ac:dyDescent="0.25">
      <c r="A478" s="91" t="str">
        <f t="shared" si="8"/>
        <v/>
      </c>
    </row>
    <row r="479" spans="1:1" x14ac:dyDescent="0.25">
      <c r="A479" s="91" t="str">
        <f t="shared" si="8"/>
        <v/>
      </c>
    </row>
    <row r="480" spans="1:1" x14ac:dyDescent="0.25">
      <c r="A480" s="91" t="str">
        <f t="shared" si="8"/>
        <v/>
      </c>
    </row>
    <row r="481" spans="1:1" x14ac:dyDescent="0.25">
      <c r="A481" s="91" t="str">
        <f t="shared" si="8"/>
        <v/>
      </c>
    </row>
    <row r="482" spans="1:1" x14ac:dyDescent="0.25">
      <c r="A482" s="91" t="str">
        <f t="shared" ref="A482:A545" si="9">IF(AND(B481&lt;&gt;"",B482=""),"New entry---&gt;","")</f>
        <v/>
      </c>
    </row>
    <row r="483" spans="1:1" x14ac:dyDescent="0.25">
      <c r="A483" s="91" t="str">
        <f t="shared" si="9"/>
        <v/>
      </c>
    </row>
    <row r="484" spans="1:1" x14ac:dyDescent="0.25">
      <c r="A484" s="91" t="str">
        <f t="shared" si="9"/>
        <v/>
      </c>
    </row>
    <row r="485" spans="1:1" x14ac:dyDescent="0.25">
      <c r="A485" s="91" t="str">
        <f t="shared" si="9"/>
        <v/>
      </c>
    </row>
    <row r="486" spans="1:1" x14ac:dyDescent="0.25">
      <c r="A486" s="91" t="str">
        <f t="shared" si="9"/>
        <v/>
      </c>
    </row>
    <row r="487" spans="1:1" x14ac:dyDescent="0.25">
      <c r="A487" s="91" t="str">
        <f t="shared" si="9"/>
        <v/>
      </c>
    </row>
    <row r="488" spans="1:1" x14ac:dyDescent="0.25">
      <c r="A488" s="91" t="str">
        <f t="shared" si="9"/>
        <v/>
      </c>
    </row>
    <row r="489" spans="1:1" x14ac:dyDescent="0.25">
      <c r="A489" s="91" t="str">
        <f t="shared" si="9"/>
        <v/>
      </c>
    </row>
    <row r="490" spans="1:1" x14ac:dyDescent="0.25">
      <c r="A490" s="91" t="str">
        <f t="shared" si="9"/>
        <v/>
      </c>
    </row>
    <row r="491" spans="1:1" x14ac:dyDescent="0.25">
      <c r="A491" s="91" t="str">
        <f t="shared" si="9"/>
        <v/>
      </c>
    </row>
    <row r="492" spans="1:1" x14ac:dyDescent="0.25">
      <c r="A492" s="91" t="str">
        <f t="shared" si="9"/>
        <v/>
      </c>
    </row>
    <row r="493" spans="1:1" x14ac:dyDescent="0.25">
      <c r="A493" s="91" t="str">
        <f t="shared" si="9"/>
        <v/>
      </c>
    </row>
    <row r="494" spans="1:1" x14ac:dyDescent="0.25">
      <c r="A494" s="91" t="str">
        <f t="shared" si="9"/>
        <v/>
      </c>
    </row>
    <row r="495" spans="1:1" x14ac:dyDescent="0.25">
      <c r="A495" s="91" t="str">
        <f t="shared" si="9"/>
        <v/>
      </c>
    </row>
    <row r="496" spans="1:1" x14ac:dyDescent="0.25">
      <c r="A496" s="91" t="str">
        <f t="shared" si="9"/>
        <v/>
      </c>
    </row>
    <row r="497" spans="1:1" x14ac:dyDescent="0.25">
      <c r="A497" s="91" t="str">
        <f t="shared" si="9"/>
        <v/>
      </c>
    </row>
    <row r="498" spans="1:1" x14ac:dyDescent="0.25">
      <c r="A498" s="91" t="str">
        <f t="shared" si="9"/>
        <v/>
      </c>
    </row>
    <row r="499" spans="1:1" x14ac:dyDescent="0.25">
      <c r="A499" s="91" t="str">
        <f t="shared" si="9"/>
        <v/>
      </c>
    </row>
    <row r="500" spans="1:1" x14ac:dyDescent="0.25">
      <c r="A500" s="91" t="str">
        <f t="shared" si="9"/>
        <v/>
      </c>
    </row>
    <row r="501" spans="1:1" x14ac:dyDescent="0.25">
      <c r="A501" s="91" t="str">
        <f t="shared" si="9"/>
        <v/>
      </c>
    </row>
    <row r="502" spans="1:1" x14ac:dyDescent="0.25">
      <c r="A502" s="91" t="str">
        <f t="shared" si="9"/>
        <v/>
      </c>
    </row>
    <row r="503" spans="1:1" x14ac:dyDescent="0.25">
      <c r="A503" s="91" t="str">
        <f t="shared" si="9"/>
        <v/>
      </c>
    </row>
    <row r="504" spans="1:1" x14ac:dyDescent="0.25">
      <c r="A504" s="91" t="str">
        <f t="shared" si="9"/>
        <v/>
      </c>
    </row>
    <row r="505" spans="1:1" x14ac:dyDescent="0.25">
      <c r="A505" s="91" t="str">
        <f t="shared" si="9"/>
        <v/>
      </c>
    </row>
    <row r="506" spans="1:1" x14ac:dyDescent="0.25">
      <c r="A506" s="91" t="str">
        <f t="shared" si="9"/>
        <v/>
      </c>
    </row>
    <row r="507" spans="1:1" x14ac:dyDescent="0.25">
      <c r="A507" s="91" t="str">
        <f t="shared" si="9"/>
        <v/>
      </c>
    </row>
    <row r="508" spans="1:1" x14ac:dyDescent="0.25">
      <c r="A508" s="91" t="str">
        <f t="shared" si="9"/>
        <v/>
      </c>
    </row>
    <row r="509" spans="1:1" x14ac:dyDescent="0.25">
      <c r="A509" s="91" t="str">
        <f t="shared" si="9"/>
        <v/>
      </c>
    </row>
    <row r="510" spans="1:1" x14ac:dyDescent="0.25">
      <c r="A510" s="91" t="str">
        <f t="shared" si="9"/>
        <v/>
      </c>
    </row>
    <row r="511" spans="1:1" x14ac:dyDescent="0.25">
      <c r="A511" s="91" t="str">
        <f t="shared" si="9"/>
        <v/>
      </c>
    </row>
    <row r="512" spans="1:1" x14ac:dyDescent="0.25">
      <c r="A512" s="91" t="str">
        <f t="shared" si="9"/>
        <v/>
      </c>
    </row>
    <row r="513" spans="1:1" x14ac:dyDescent="0.25">
      <c r="A513" s="91" t="str">
        <f t="shared" si="9"/>
        <v/>
      </c>
    </row>
    <row r="514" spans="1:1" x14ac:dyDescent="0.25">
      <c r="A514" s="91" t="str">
        <f t="shared" si="9"/>
        <v/>
      </c>
    </row>
    <row r="515" spans="1:1" x14ac:dyDescent="0.25">
      <c r="A515" s="91" t="str">
        <f t="shared" si="9"/>
        <v/>
      </c>
    </row>
    <row r="516" spans="1:1" x14ac:dyDescent="0.25">
      <c r="A516" s="91" t="str">
        <f t="shared" si="9"/>
        <v/>
      </c>
    </row>
    <row r="517" spans="1:1" x14ac:dyDescent="0.25">
      <c r="A517" s="91" t="str">
        <f t="shared" si="9"/>
        <v/>
      </c>
    </row>
    <row r="518" spans="1:1" x14ac:dyDescent="0.25">
      <c r="A518" s="91" t="str">
        <f t="shared" si="9"/>
        <v/>
      </c>
    </row>
    <row r="519" spans="1:1" x14ac:dyDescent="0.25">
      <c r="A519" s="91" t="str">
        <f t="shared" si="9"/>
        <v/>
      </c>
    </row>
    <row r="520" spans="1:1" x14ac:dyDescent="0.25">
      <c r="A520" s="91" t="str">
        <f t="shared" si="9"/>
        <v/>
      </c>
    </row>
    <row r="521" spans="1:1" x14ac:dyDescent="0.25">
      <c r="A521" s="91" t="str">
        <f t="shared" si="9"/>
        <v/>
      </c>
    </row>
    <row r="522" spans="1:1" x14ac:dyDescent="0.25">
      <c r="A522" s="91" t="str">
        <f t="shared" si="9"/>
        <v/>
      </c>
    </row>
    <row r="523" spans="1:1" x14ac:dyDescent="0.25">
      <c r="A523" s="91" t="str">
        <f t="shared" si="9"/>
        <v/>
      </c>
    </row>
    <row r="524" spans="1:1" x14ac:dyDescent="0.25">
      <c r="A524" s="91" t="str">
        <f t="shared" si="9"/>
        <v/>
      </c>
    </row>
    <row r="525" spans="1:1" x14ac:dyDescent="0.25">
      <c r="A525" s="91" t="str">
        <f t="shared" si="9"/>
        <v/>
      </c>
    </row>
    <row r="526" spans="1:1" x14ac:dyDescent="0.25">
      <c r="A526" s="91" t="str">
        <f t="shared" si="9"/>
        <v/>
      </c>
    </row>
    <row r="527" spans="1:1" x14ac:dyDescent="0.25">
      <c r="A527" s="91" t="str">
        <f t="shared" si="9"/>
        <v/>
      </c>
    </row>
    <row r="528" spans="1:1" x14ac:dyDescent="0.25">
      <c r="A528" s="91" t="str">
        <f t="shared" si="9"/>
        <v/>
      </c>
    </row>
    <row r="529" spans="1:1" x14ac:dyDescent="0.25">
      <c r="A529" s="91" t="str">
        <f t="shared" si="9"/>
        <v/>
      </c>
    </row>
    <row r="530" spans="1:1" x14ac:dyDescent="0.25">
      <c r="A530" s="91" t="str">
        <f t="shared" si="9"/>
        <v/>
      </c>
    </row>
    <row r="531" spans="1:1" x14ac:dyDescent="0.25">
      <c r="A531" s="91" t="str">
        <f t="shared" si="9"/>
        <v/>
      </c>
    </row>
    <row r="532" spans="1:1" x14ac:dyDescent="0.25">
      <c r="A532" s="91" t="str">
        <f t="shared" si="9"/>
        <v/>
      </c>
    </row>
    <row r="533" spans="1:1" x14ac:dyDescent="0.25">
      <c r="A533" s="91" t="str">
        <f t="shared" si="9"/>
        <v/>
      </c>
    </row>
    <row r="534" spans="1:1" x14ac:dyDescent="0.25">
      <c r="A534" s="91" t="str">
        <f t="shared" si="9"/>
        <v/>
      </c>
    </row>
    <row r="535" spans="1:1" x14ac:dyDescent="0.25">
      <c r="A535" s="91" t="str">
        <f t="shared" si="9"/>
        <v/>
      </c>
    </row>
    <row r="536" spans="1:1" x14ac:dyDescent="0.25">
      <c r="A536" s="91" t="str">
        <f t="shared" si="9"/>
        <v/>
      </c>
    </row>
    <row r="537" spans="1:1" x14ac:dyDescent="0.25">
      <c r="A537" s="91" t="str">
        <f t="shared" si="9"/>
        <v/>
      </c>
    </row>
    <row r="538" spans="1:1" x14ac:dyDescent="0.25">
      <c r="A538" s="91" t="str">
        <f t="shared" si="9"/>
        <v/>
      </c>
    </row>
    <row r="539" spans="1:1" x14ac:dyDescent="0.25">
      <c r="A539" s="91" t="str">
        <f t="shared" si="9"/>
        <v/>
      </c>
    </row>
    <row r="540" spans="1:1" x14ac:dyDescent="0.25">
      <c r="A540" s="91" t="str">
        <f t="shared" si="9"/>
        <v/>
      </c>
    </row>
    <row r="541" spans="1:1" x14ac:dyDescent="0.25">
      <c r="A541" s="91" t="str">
        <f t="shared" si="9"/>
        <v/>
      </c>
    </row>
    <row r="542" spans="1:1" x14ac:dyDescent="0.25">
      <c r="A542" s="91" t="str">
        <f t="shared" si="9"/>
        <v/>
      </c>
    </row>
    <row r="543" spans="1:1" x14ac:dyDescent="0.25">
      <c r="A543" s="91" t="str">
        <f t="shared" si="9"/>
        <v/>
      </c>
    </row>
    <row r="544" spans="1:1" x14ac:dyDescent="0.25">
      <c r="A544" s="91" t="str">
        <f t="shared" si="9"/>
        <v/>
      </c>
    </row>
    <row r="545" spans="1:1" x14ac:dyDescent="0.25">
      <c r="A545" s="91" t="str">
        <f t="shared" si="9"/>
        <v/>
      </c>
    </row>
    <row r="546" spans="1:1" x14ac:dyDescent="0.25">
      <c r="A546" s="91" t="str">
        <f t="shared" ref="A546:A609" si="10">IF(AND(B545&lt;&gt;"",B546=""),"New entry---&gt;","")</f>
        <v/>
      </c>
    </row>
    <row r="547" spans="1:1" x14ac:dyDescent="0.25">
      <c r="A547" s="91" t="str">
        <f t="shared" si="10"/>
        <v/>
      </c>
    </row>
    <row r="548" spans="1:1" x14ac:dyDescent="0.25">
      <c r="A548" s="91" t="str">
        <f t="shared" si="10"/>
        <v/>
      </c>
    </row>
    <row r="549" spans="1:1" x14ac:dyDescent="0.25">
      <c r="A549" s="91" t="str">
        <f t="shared" si="10"/>
        <v/>
      </c>
    </row>
    <row r="550" spans="1:1" x14ac:dyDescent="0.25">
      <c r="A550" s="91" t="str">
        <f t="shared" si="10"/>
        <v/>
      </c>
    </row>
    <row r="551" spans="1:1" x14ac:dyDescent="0.25">
      <c r="A551" s="91" t="str">
        <f t="shared" si="10"/>
        <v/>
      </c>
    </row>
    <row r="552" spans="1:1" x14ac:dyDescent="0.25">
      <c r="A552" s="91" t="str">
        <f t="shared" si="10"/>
        <v/>
      </c>
    </row>
    <row r="553" spans="1:1" x14ac:dyDescent="0.25">
      <c r="A553" s="91" t="str">
        <f t="shared" si="10"/>
        <v/>
      </c>
    </row>
    <row r="554" spans="1:1" x14ac:dyDescent="0.25">
      <c r="A554" s="91" t="str">
        <f t="shared" si="10"/>
        <v/>
      </c>
    </row>
    <row r="555" spans="1:1" x14ac:dyDescent="0.25">
      <c r="A555" s="91" t="str">
        <f t="shared" si="10"/>
        <v/>
      </c>
    </row>
    <row r="556" spans="1:1" x14ac:dyDescent="0.25">
      <c r="A556" s="91" t="str">
        <f t="shared" si="10"/>
        <v/>
      </c>
    </row>
    <row r="557" spans="1:1" x14ac:dyDescent="0.25">
      <c r="A557" s="91" t="str">
        <f t="shared" si="10"/>
        <v/>
      </c>
    </row>
    <row r="558" spans="1:1" x14ac:dyDescent="0.25">
      <c r="A558" s="91" t="str">
        <f t="shared" si="10"/>
        <v/>
      </c>
    </row>
    <row r="559" spans="1:1" x14ac:dyDescent="0.25">
      <c r="A559" s="91" t="str">
        <f t="shared" si="10"/>
        <v/>
      </c>
    </row>
    <row r="560" spans="1:1" x14ac:dyDescent="0.25">
      <c r="A560" s="91" t="str">
        <f t="shared" si="10"/>
        <v/>
      </c>
    </row>
    <row r="561" spans="1:1" x14ac:dyDescent="0.25">
      <c r="A561" s="91" t="str">
        <f t="shared" si="10"/>
        <v/>
      </c>
    </row>
    <row r="562" spans="1:1" x14ac:dyDescent="0.25">
      <c r="A562" s="91" t="str">
        <f t="shared" si="10"/>
        <v/>
      </c>
    </row>
    <row r="563" spans="1:1" x14ac:dyDescent="0.25">
      <c r="A563" s="91" t="str">
        <f t="shared" si="10"/>
        <v/>
      </c>
    </row>
    <row r="564" spans="1:1" x14ac:dyDescent="0.25">
      <c r="A564" s="91" t="str">
        <f t="shared" si="10"/>
        <v/>
      </c>
    </row>
    <row r="565" spans="1:1" x14ac:dyDescent="0.25">
      <c r="A565" s="91" t="str">
        <f t="shared" si="10"/>
        <v/>
      </c>
    </row>
    <row r="566" spans="1:1" x14ac:dyDescent="0.25">
      <c r="A566" s="91" t="str">
        <f t="shared" si="10"/>
        <v/>
      </c>
    </row>
    <row r="567" spans="1:1" x14ac:dyDescent="0.25">
      <c r="A567" s="91" t="str">
        <f t="shared" si="10"/>
        <v/>
      </c>
    </row>
    <row r="568" spans="1:1" x14ac:dyDescent="0.25">
      <c r="A568" s="91" t="str">
        <f t="shared" si="10"/>
        <v/>
      </c>
    </row>
    <row r="569" spans="1:1" x14ac:dyDescent="0.25">
      <c r="A569" s="91" t="str">
        <f t="shared" si="10"/>
        <v/>
      </c>
    </row>
    <row r="570" spans="1:1" x14ac:dyDescent="0.25">
      <c r="A570" s="91" t="str">
        <f t="shared" si="10"/>
        <v/>
      </c>
    </row>
    <row r="571" spans="1:1" x14ac:dyDescent="0.25">
      <c r="A571" s="91" t="str">
        <f t="shared" si="10"/>
        <v/>
      </c>
    </row>
    <row r="572" spans="1:1" x14ac:dyDescent="0.25">
      <c r="A572" s="91" t="str">
        <f t="shared" si="10"/>
        <v/>
      </c>
    </row>
    <row r="573" spans="1:1" x14ac:dyDescent="0.25">
      <c r="A573" s="91" t="str">
        <f t="shared" si="10"/>
        <v/>
      </c>
    </row>
    <row r="574" spans="1:1" x14ac:dyDescent="0.25">
      <c r="A574" s="91" t="str">
        <f t="shared" si="10"/>
        <v/>
      </c>
    </row>
    <row r="575" spans="1:1" x14ac:dyDescent="0.25">
      <c r="A575" s="91" t="str">
        <f t="shared" si="10"/>
        <v/>
      </c>
    </row>
    <row r="576" spans="1:1" x14ac:dyDescent="0.25">
      <c r="A576" s="91" t="str">
        <f t="shared" si="10"/>
        <v/>
      </c>
    </row>
    <row r="577" spans="1:1" x14ac:dyDescent="0.25">
      <c r="A577" s="91" t="str">
        <f t="shared" si="10"/>
        <v/>
      </c>
    </row>
    <row r="578" spans="1:1" x14ac:dyDescent="0.25">
      <c r="A578" s="91" t="str">
        <f t="shared" si="10"/>
        <v/>
      </c>
    </row>
    <row r="579" spans="1:1" x14ac:dyDescent="0.25">
      <c r="A579" s="91" t="str">
        <f t="shared" si="10"/>
        <v/>
      </c>
    </row>
    <row r="580" spans="1:1" x14ac:dyDescent="0.25">
      <c r="A580" s="91" t="str">
        <f t="shared" si="10"/>
        <v/>
      </c>
    </row>
    <row r="581" spans="1:1" x14ac:dyDescent="0.25">
      <c r="A581" s="91" t="str">
        <f t="shared" si="10"/>
        <v/>
      </c>
    </row>
    <row r="582" spans="1:1" x14ac:dyDescent="0.25">
      <c r="A582" s="91" t="str">
        <f t="shared" si="10"/>
        <v/>
      </c>
    </row>
    <row r="583" spans="1:1" x14ac:dyDescent="0.25">
      <c r="A583" s="91" t="str">
        <f t="shared" si="10"/>
        <v/>
      </c>
    </row>
    <row r="584" spans="1:1" x14ac:dyDescent="0.25">
      <c r="A584" s="91" t="str">
        <f t="shared" si="10"/>
        <v/>
      </c>
    </row>
    <row r="585" spans="1:1" x14ac:dyDescent="0.25">
      <c r="A585" s="91" t="str">
        <f t="shared" si="10"/>
        <v/>
      </c>
    </row>
    <row r="586" spans="1:1" x14ac:dyDescent="0.25">
      <c r="A586" s="91" t="str">
        <f t="shared" si="10"/>
        <v/>
      </c>
    </row>
    <row r="587" spans="1:1" x14ac:dyDescent="0.25">
      <c r="A587" s="91" t="str">
        <f t="shared" si="10"/>
        <v/>
      </c>
    </row>
    <row r="588" spans="1:1" x14ac:dyDescent="0.25">
      <c r="A588" s="91" t="str">
        <f t="shared" si="10"/>
        <v/>
      </c>
    </row>
    <row r="589" spans="1:1" x14ac:dyDescent="0.25">
      <c r="A589" s="91" t="str">
        <f t="shared" si="10"/>
        <v/>
      </c>
    </row>
    <row r="590" spans="1:1" x14ac:dyDescent="0.25">
      <c r="A590" s="91" t="str">
        <f t="shared" si="10"/>
        <v/>
      </c>
    </row>
    <row r="591" spans="1:1" x14ac:dyDescent="0.25">
      <c r="A591" s="91" t="str">
        <f t="shared" si="10"/>
        <v/>
      </c>
    </row>
    <row r="592" spans="1:1" x14ac:dyDescent="0.25">
      <c r="A592" s="91" t="str">
        <f t="shared" si="10"/>
        <v/>
      </c>
    </row>
    <row r="593" spans="1:1" x14ac:dyDescent="0.25">
      <c r="A593" s="91" t="str">
        <f t="shared" si="10"/>
        <v/>
      </c>
    </row>
    <row r="594" spans="1:1" x14ac:dyDescent="0.25">
      <c r="A594" s="91" t="str">
        <f t="shared" si="10"/>
        <v/>
      </c>
    </row>
    <row r="595" spans="1:1" x14ac:dyDescent="0.25">
      <c r="A595" s="91" t="str">
        <f t="shared" si="10"/>
        <v/>
      </c>
    </row>
    <row r="596" spans="1:1" x14ac:dyDescent="0.25">
      <c r="A596" s="91" t="str">
        <f t="shared" si="10"/>
        <v/>
      </c>
    </row>
    <row r="597" spans="1:1" x14ac:dyDescent="0.25">
      <c r="A597" s="91" t="str">
        <f t="shared" si="10"/>
        <v/>
      </c>
    </row>
    <row r="598" spans="1:1" x14ac:dyDescent="0.25">
      <c r="A598" s="91" t="str">
        <f t="shared" si="10"/>
        <v/>
      </c>
    </row>
    <row r="599" spans="1:1" x14ac:dyDescent="0.25">
      <c r="A599" s="91" t="str">
        <f t="shared" si="10"/>
        <v/>
      </c>
    </row>
    <row r="600" spans="1:1" x14ac:dyDescent="0.25">
      <c r="A600" s="91" t="str">
        <f t="shared" si="10"/>
        <v/>
      </c>
    </row>
    <row r="601" spans="1:1" x14ac:dyDescent="0.25">
      <c r="A601" s="91" t="str">
        <f t="shared" si="10"/>
        <v/>
      </c>
    </row>
    <row r="602" spans="1:1" x14ac:dyDescent="0.25">
      <c r="A602" s="91" t="str">
        <f t="shared" si="10"/>
        <v/>
      </c>
    </row>
    <row r="603" spans="1:1" x14ac:dyDescent="0.25">
      <c r="A603" s="91" t="str">
        <f t="shared" si="10"/>
        <v/>
      </c>
    </row>
    <row r="604" spans="1:1" x14ac:dyDescent="0.25">
      <c r="A604" s="91" t="str">
        <f t="shared" si="10"/>
        <v/>
      </c>
    </row>
    <row r="605" spans="1:1" x14ac:dyDescent="0.25">
      <c r="A605" s="91" t="str">
        <f t="shared" si="10"/>
        <v/>
      </c>
    </row>
    <row r="606" spans="1:1" x14ac:dyDescent="0.25">
      <c r="A606" s="91" t="str">
        <f t="shared" si="10"/>
        <v/>
      </c>
    </row>
    <row r="607" spans="1:1" x14ac:dyDescent="0.25">
      <c r="A607" s="91" t="str">
        <f t="shared" si="10"/>
        <v/>
      </c>
    </row>
    <row r="608" spans="1:1" x14ac:dyDescent="0.25">
      <c r="A608" s="91" t="str">
        <f t="shared" si="10"/>
        <v/>
      </c>
    </row>
    <row r="609" spans="1:1" x14ac:dyDescent="0.25">
      <c r="A609" s="91" t="str">
        <f t="shared" si="10"/>
        <v/>
      </c>
    </row>
    <row r="610" spans="1:1" x14ac:dyDescent="0.25">
      <c r="A610" s="91" t="str">
        <f t="shared" ref="A610:A673" si="11">IF(AND(B609&lt;&gt;"",B610=""),"New entry---&gt;","")</f>
        <v/>
      </c>
    </row>
    <row r="611" spans="1:1" x14ac:dyDescent="0.25">
      <c r="A611" s="91" t="str">
        <f t="shared" si="11"/>
        <v/>
      </c>
    </row>
    <row r="612" spans="1:1" x14ac:dyDescent="0.25">
      <c r="A612" s="91" t="str">
        <f t="shared" si="11"/>
        <v/>
      </c>
    </row>
    <row r="613" spans="1:1" x14ac:dyDescent="0.25">
      <c r="A613" s="91" t="str">
        <f t="shared" si="11"/>
        <v/>
      </c>
    </row>
    <row r="614" spans="1:1" x14ac:dyDescent="0.25">
      <c r="A614" s="91" t="str">
        <f t="shared" si="11"/>
        <v/>
      </c>
    </row>
    <row r="615" spans="1:1" x14ac:dyDescent="0.25">
      <c r="A615" s="91" t="str">
        <f t="shared" si="11"/>
        <v/>
      </c>
    </row>
    <row r="616" spans="1:1" x14ac:dyDescent="0.25">
      <c r="A616" s="91" t="str">
        <f t="shared" si="11"/>
        <v/>
      </c>
    </row>
    <row r="617" spans="1:1" x14ac:dyDescent="0.25">
      <c r="A617" s="91" t="str">
        <f t="shared" si="11"/>
        <v/>
      </c>
    </row>
    <row r="618" spans="1:1" x14ac:dyDescent="0.25">
      <c r="A618" s="91" t="str">
        <f t="shared" si="11"/>
        <v/>
      </c>
    </row>
    <row r="619" spans="1:1" x14ac:dyDescent="0.25">
      <c r="A619" s="91" t="str">
        <f t="shared" si="11"/>
        <v/>
      </c>
    </row>
    <row r="620" spans="1:1" x14ac:dyDescent="0.25">
      <c r="A620" s="91" t="str">
        <f t="shared" si="11"/>
        <v/>
      </c>
    </row>
    <row r="621" spans="1:1" x14ac:dyDescent="0.25">
      <c r="A621" s="91" t="str">
        <f t="shared" si="11"/>
        <v/>
      </c>
    </row>
    <row r="622" spans="1:1" x14ac:dyDescent="0.25">
      <c r="A622" s="91" t="str">
        <f t="shared" si="11"/>
        <v/>
      </c>
    </row>
    <row r="623" spans="1:1" x14ac:dyDescent="0.25">
      <c r="A623" s="91" t="str">
        <f t="shared" si="11"/>
        <v/>
      </c>
    </row>
    <row r="624" spans="1:1" x14ac:dyDescent="0.25">
      <c r="A624" s="91" t="str">
        <f t="shared" si="11"/>
        <v/>
      </c>
    </row>
    <row r="625" spans="1:1" x14ac:dyDescent="0.25">
      <c r="A625" s="91" t="str">
        <f t="shared" si="11"/>
        <v/>
      </c>
    </row>
    <row r="626" spans="1:1" x14ac:dyDescent="0.25">
      <c r="A626" s="91" t="str">
        <f t="shared" si="11"/>
        <v/>
      </c>
    </row>
    <row r="627" spans="1:1" x14ac:dyDescent="0.25">
      <c r="A627" s="91" t="str">
        <f t="shared" si="11"/>
        <v/>
      </c>
    </row>
    <row r="628" spans="1:1" x14ac:dyDescent="0.25">
      <c r="A628" s="91" t="str">
        <f t="shared" si="11"/>
        <v/>
      </c>
    </row>
    <row r="629" spans="1:1" x14ac:dyDescent="0.25">
      <c r="A629" s="91" t="str">
        <f t="shared" si="11"/>
        <v/>
      </c>
    </row>
    <row r="630" spans="1:1" x14ac:dyDescent="0.25">
      <c r="A630" s="91" t="str">
        <f t="shared" si="11"/>
        <v/>
      </c>
    </row>
    <row r="631" spans="1:1" x14ac:dyDescent="0.25">
      <c r="A631" s="91" t="str">
        <f t="shared" si="11"/>
        <v/>
      </c>
    </row>
    <row r="632" spans="1:1" x14ac:dyDescent="0.25">
      <c r="A632" s="91" t="str">
        <f t="shared" si="11"/>
        <v/>
      </c>
    </row>
    <row r="633" spans="1:1" x14ac:dyDescent="0.25">
      <c r="A633" s="91" t="str">
        <f t="shared" si="11"/>
        <v/>
      </c>
    </row>
    <row r="634" spans="1:1" x14ac:dyDescent="0.25">
      <c r="A634" s="91" t="str">
        <f t="shared" si="11"/>
        <v/>
      </c>
    </row>
    <row r="635" spans="1:1" x14ac:dyDescent="0.25">
      <c r="A635" s="91" t="str">
        <f t="shared" si="11"/>
        <v/>
      </c>
    </row>
    <row r="636" spans="1:1" x14ac:dyDescent="0.25">
      <c r="A636" s="91" t="str">
        <f t="shared" si="11"/>
        <v/>
      </c>
    </row>
    <row r="637" spans="1:1" x14ac:dyDescent="0.25">
      <c r="A637" s="91" t="str">
        <f t="shared" si="11"/>
        <v/>
      </c>
    </row>
    <row r="638" spans="1:1" x14ac:dyDescent="0.25">
      <c r="A638" s="91" t="str">
        <f t="shared" si="11"/>
        <v/>
      </c>
    </row>
    <row r="639" spans="1:1" x14ac:dyDescent="0.25">
      <c r="A639" s="91" t="str">
        <f t="shared" si="11"/>
        <v/>
      </c>
    </row>
    <row r="640" spans="1:1" x14ac:dyDescent="0.25">
      <c r="A640" s="91" t="str">
        <f t="shared" si="11"/>
        <v/>
      </c>
    </row>
    <row r="641" spans="1:1" x14ac:dyDescent="0.25">
      <c r="A641" s="91" t="str">
        <f t="shared" si="11"/>
        <v/>
      </c>
    </row>
    <row r="642" spans="1:1" x14ac:dyDescent="0.25">
      <c r="A642" s="91" t="str">
        <f t="shared" si="11"/>
        <v/>
      </c>
    </row>
    <row r="643" spans="1:1" x14ac:dyDescent="0.25">
      <c r="A643" s="91" t="str">
        <f t="shared" si="11"/>
        <v/>
      </c>
    </row>
    <row r="644" spans="1:1" x14ac:dyDescent="0.25">
      <c r="A644" s="91" t="str">
        <f t="shared" si="11"/>
        <v/>
      </c>
    </row>
    <row r="645" spans="1:1" x14ac:dyDescent="0.25">
      <c r="A645" s="91" t="str">
        <f t="shared" si="11"/>
        <v/>
      </c>
    </row>
    <row r="646" spans="1:1" x14ac:dyDescent="0.25">
      <c r="A646" s="91" t="str">
        <f t="shared" si="11"/>
        <v/>
      </c>
    </row>
    <row r="647" spans="1:1" x14ac:dyDescent="0.25">
      <c r="A647" s="91" t="str">
        <f t="shared" si="11"/>
        <v/>
      </c>
    </row>
    <row r="648" spans="1:1" x14ac:dyDescent="0.25">
      <c r="A648" s="91" t="str">
        <f t="shared" si="11"/>
        <v/>
      </c>
    </row>
    <row r="649" spans="1:1" x14ac:dyDescent="0.25">
      <c r="A649" s="91" t="str">
        <f t="shared" si="11"/>
        <v/>
      </c>
    </row>
    <row r="650" spans="1:1" x14ac:dyDescent="0.25">
      <c r="A650" s="91" t="str">
        <f t="shared" si="11"/>
        <v/>
      </c>
    </row>
    <row r="651" spans="1:1" x14ac:dyDescent="0.25">
      <c r="A651" s="91" t="str">
        <f t="shared" si="11"/>
        <v/>
      </c>
    </row>
    <row r="652" spans="1:1" x14ac:dyDescent="0.25">
      <c r="A652" s="91" t="str">
        <f t="shared" si="11"/>
        <v/>
      </c>
    </row>
    <row r="653" spans="1:1" x14ac:dyDescent="0.25">
      <c r="A653" s="91" t="str">
        <f t="shared" si="11"/>
        <v/>
      </c>
    </row>
    <row r="654" spans="1:1" x14ac:dyDescent="0.25">
      <c r="A654" s="91" t="str">
        <f t="shared" si="11"/>
        <v/>
      </c>
    </row>
    <row r="655" spans="1:1" x14ac:dyDescent="0.25">
      <c r="A655" s="91" t="str">
        <f t="shared" si="11"/>
        <v/>
      </c>
    </row>
    <row r="656" spans="1:1" x14ac:dyDescent="0.25">
      <c r="A656" s="91" t="str">
        <f t="shared" si="11"/>
        <v/>
      </c>
    </row>
    <row r="657" spans="1:1" x14ac:dyDescent="0.25">
      <c r="A657" s="91" t="str">
        <f t="shared" si="11"/>
        <v/>
      </c>
    </row>
    <row r="658" spans="1:1" x14ac:dyDescent="0.25">
      <c r="A658" s="91" t="str">
        <f t="shared" si="11"/>
        <v/>
      </c>
    </row>
    <row r="659" spans="1:1" x14ac:dyDescent="0.25">
      <c r="A659" s="91" t="str">
        <f t="shared" si="11"/>
        <v/>
      </c>
    </row>
    <row r="660" spans="1:1" x14ac:dyDescent="0.25">
      <c r="A660" s="91" t="str">
        <f t="shared" si="11"/>
        <v/>
      </c>
    </row>
    <row r="661" spans="1:1" x14ac:dyDescent="0.25">
      <c r="A661" s="91" t="str">
        <f t="shared" si="11"/>
        <v/>
      </c>
    </row>
    <row r="662" spans="1:1" x14ac:dyDescent="0.25">
      <c r="A662" s="91" t="str">
        <f t="shared" si="11"/>
        <v/>
      </c>
    </row>
    <row r="663" spans="1:1" x14ac:dyDescent="0.25">
      <c r="A663" s="91" t="str">
        <f t="shared" si="11"/>
        <v/>
      </c>
    </row>
    <row r="664" spans="1:1" x14ac:dyDescent="0.25">
      <c r="A664" s="91" t="str">
        <f t="shared" si="11"/>
        <v/>
      </c>
    </row>
    <row r="665" spans="1:1" x14ac:dyDescent="0.25">
      <c r="A665" s="91" t="str">
        <f t="shared" si="11"/>
        <v/>
      </c>
    </row>
    <row r="666" spans="1:1" x14ac:dyDescent="0.25">
      <c r="A666" s="91" t="str">
        <f t="shared" si="11"/>
        <v/>
      </c>
    </row>
    <row r="667" spans="1:1" x14ac:dyDescent="0.25">
      <c r="A667" s="91" t="str">
        <f t="shared" si="11"/>
        <v/>
      </c>
    </row>
    <row r="668" spans="1:1" x14ac:dyDescent="0.25">
      <c r="A668" s="91" t="str">
        <f t="shared" si="11"/>
        <v/>
      </c>
    </row>
    <row r="669" spans="1:1" x14ac:dyDescent="0.25">
      <c r="A669" s="91" t="str">
        <f t="shared" si="11"/>
        <v/>
      </c>
    </row>
    <row r="670" spans="1:1" x14ac:dyDescent="0.25">
      <c r="A670" s="91" t="str">
        <f t="shared" si="11"/>
        <v/>
      </c>
    </row>
    <row r="671" spans="1:1" x14ac:dyDescent="0.25">
      <c r="A671" s="91" t="str">
        <f t="shared" si="11"/>
        <v/>
      </c>
    </row>
    <row r="672" spans="1:1" x14ac:dyDescent="0.25">
      <c r="A672" s="91" t="str">
        <f t="shared" si="11"/>
        <v/>
      </c>
    </row>
    <row r="673" spans="1:1" x14ac:dyDescent="0.25">
      <c r="A673" s="91" t="str">
        <f t="shared" si="11"/>
        <v/>
      </c>
    </row>
    <row r="674" spans="1:1" x14ac:dyDescent="0.25">
      <c r="A674" s="91" t="str">
        <f t="shared" ref="A674:A737" si="12">IF(AND(B673&lt;&gt;"",B674=""),"New entry---&gt;","")</f>
        <v/>
      </c>
    </row>
    <row r="675" spans="1:1" x14ac:dyDescent="0.25">
      <c r="A675" s="91" t="str">
        <f t="shared" si="12"/>
        <v/>
      </c>
    </row>
    <row r="676" spans="1:1" x14ac:dyDescent="0.25">
      <c r="A676" s="91" t="str">
        <f t="shared" si="12"/>
        <v/>
      </c>
    </row>
    <row r="677" spans="1:1" x14ac:dyDescent="0.25">
      <c r="A677" s="91" t="str">
        <f t="shared" si="12"/>
        <v/>
      </c>
    </row>
    <row r="678" spans="1:1" x14ac:dyDescent="0.25">
      <c r="A678" s="91" t="str">
        <f t="shared" si="12"/>
        <v/>
      </c>
    </row>
    <row r="679" spans="1:1" x14ac:dyDescent="0.25">
      <c r="A679" s="91" t="str">
        <f t="shared" si="12"/>
        <v/>
      </c>
    </row>
    <row r="680" spans="1:1" x14ac:dyDescent="0.25">
      <c r="A680" s="91" t="str">
        <f t="shared" si="12"/>
        <v/>
      </c>
    </row>
    <row r="681" spans="1:1" x14ac:dyDescent="0.25">
      <c r="A681" s="91" t="str">
        <f t="shared" si="12"/>
        <v/>
      </c>
    </row>
    <row r="682" spans="1:1" x14ac:dyDescent="0.25">
      <c r="A682" s="91" t="str">
        <f t="shared" si="12"/>
        <v/>
      </c>
    </row>
    <row r="683" spans="1:1" x14ac:dyDescent="0.25">
      <c r="A683" s="91" t="str">
        <f t="shared" si="12"/>
        <v/>
      </c>
    </row>
    <row r="684" spans="1:1" x14ac:dyDescent="0.25">
      <c r="A684" s="91" t="str">
        <f t="shared" si="12"/>
        <v/>
      </c>
    </row>
    <row r="685" spans="1:1" x14ac:dyDescent="0.25">
      <c r="A685" s="91" t="str">
        <f t="shared" si="12"/>
        <v/>
      </c>
    </row>
    <row r="686" spans="1:1" x14ac:dyDescent="0.25">
      <c r="A686" s="91" t="str">
        <f t="shared" si="12"/>
        <v/>
      </c>
    </row>
    <row r="687" spans="1:1" x14ac:dyDescent="0.25">
      <c r="A687" s="91" t="str">
        <f t="shared" si="12"/>
        <v/>
      </c>
    </row>
    <row r="688" spans="1:1" x14ac:dyDescent="0.25">
      <c r="A688" s="91" t="str">
        <f t="shared" si="12"/>
        <v/>
      </c>
    </row>
    <row r="689" spans="1:1" x14ac:dyDescent="0.25">
      <c r="A689" s="91" t="str">
        <f t="shared" si="12"/>
        <v/>
      </c>
    </row>
    <row r="690" spans="1:1" x14ac:dyDescent="0.25">
      <c r="A690" s="91" t="str">
        <f t="shared" si="12"/>
        <v/>
      </c>
    </row>
    <row r="691" spans="1:1" x14ac:dyDescent="0.25">
      <c r="A691" s="91" t="str">
        <f t="shared" si="12"/>
        <v/>
      </c>
    </row>
    <row r="692" spans="1:1" x14ac:dyDescent="0.25">
      <c r="A692" s="91" t="str">
        <f t="shared" si="12"/>
        <v/>
      </c>
    </row>
    <row r="693" spans="1:1" x14ac:dyDescent="0.25">
      <c r="A693" s="91" t="str">
        <f t="shared" si="12"/>
        <v/>
      </c>
    </row>
    <row r="694" spans="1:1" x14ac:dyDescent="0.25">
      <c r="A694" s="91" t="str">
        <f t="shared" si="12"/>
        <v/>
      </c>
    </row>
    <row r="695" spans="1:1" x14ac:dyDescent="0.25">
      <c r="A695" s="91" t="str">
        <f t="shared" si="12"/>
        <v/>
      </c>
    </row>
    <row r="696" spans="1:1" x14ac:dyDescent="0.25">
      <c r="A696" s="91" t="str">
        <f t="shared" si="12"/>
        <v/>
      </c>
    </row>
    <row r="697" spans="1:1" x14ac:dyDescent="0.25">
      <c r="A697" s="91" t="str">
        <f t="shared" si="12"/>
        <v/>
      </c>
    </row>
    <row r="698" spans="1:1" x14ac:dyDescent="0.25">
      <c r="A698" s="91" t="str">
        <f t="shared" si="12"/>
        <v/>
      </c>
    </row>
    <row r="699" spans="1:1" x14ac:dyDescent="0.25">
      <c r="A699" s="91" t="str">
        <f t="shared" si="12"/>
        <v/>
      </c>
    </row>
    <row r="700" spans="1:1" x14ac:dyDescent="0.25">
      <c r="A700" s="91" t="str">
        <f t="shared" si="12"/>
        <v/>
      </c>
    </row>
    <row r="701" spans="1:1" x14ac:dyDescent="0.25">
      <c r="A701" s="91" t="str">
        <f t="shared" si="12"/>
        <v/>
      </c>
    </row>
    <row r="702" spans="1:1" x14ac:dyDescent="0.25">
      <c r="A702" s="91" t="str">
        <f t="shared" si="12"/>
        <v/>
      </c>
    </row>
    <row r="703" spans="1:1" x14ac:dyDescent="0.25">
      <c r="A703" s="91" t="str">
        <f t="shared" si="12"/>
        <v/>
      </c>
    </row>
    <row r="704" spans="1:1" x14ac:dyDescent="0.25">
      <c r="A704" s="91" t="str">
        <f t="shared" si="12"/>
        <v/>
      </c>
    </row>
    <row r="705" spans="1:1" x14ac:dyDescent="0.25">
      <c r="A705" s="91" t="str">
        <f t="shared" si="12"/>
        <v/>
      </c>
    </row>
    <row r="706" spans="1:1" x14ac:dyDescent="0.25">
      <c r="A706" s="91" t="str">
        <f t="shared" si="12"/>
        <v/>
      </c>
    </row>
    <row r="707" spans="1:1" x14ac:dyDescent="0.25">
      <c r="A707" s="91" t="str">
        <f t="shared" si="12"/>
        <v/>
      </c>
    </row>
    <row r="708" spans="1:1" x14ac:dyDescent="0.25">
      <c r="A708" s="91" t="str">
        <f t="shared" si="12"/>
        <v/>
      </c>
    </row>
    <row r="709" spans="1:1" x14ac:dyDescent="0.25">
      <c r="A709" s="91" t="str">
        <f t="shared" si="12"/>
        <v/>
      </c>
    </row>
    <row r="710" spans="1:1" x14ac:dyDescent="0.25">
      <c r="A710" s="91" t="str">
        <f t="shared" si="12"/>
        <v/>
      </c>
    </row>
    <row r="711" spans="1:1" x14ac:dyDescent="0.25">
      <c r="A711" s="91" t="str">
        <f t="shared" si="12"/>
        <v/>
      </c>
    </row>
    <row r="712" spans="1:1" x14ac:dyDescent="0.25">
      <c r="A712" s="91" t="str">
        <f t="shared" si="12"/>
        <v/>
      </c>
    </row>
    <row r="713" spans="1:1" x14ac:dyDescent="0.25">
      <c r="A713" s="91" t="str">
        <f t="shared" si="12"/>
        <v/>
      </c>
    </row>
    <row r="714" spans="1:1" x14ac:dyDescent="0.25">
      <c r="A714" s="91" t="str">
        <f t="shared" si="12"/>
        <v/>
      </c>
    </row>
    <row r="715" spans="1:1" x14ac:dyDescent="0.25">
      <c r="A715" s="91" t="str">
        <f t="shared" si="12"/>
        <v/>
      </c>
    </row>
    <row r="716" spans="1:1" x14ac:dyDescent="0.25">
      <c r="A716" s="91" t="str">
        <f t="shared" si="12"/>
        <v/>
      </c>
    </row>
    <row r="717" spans="1:1" x14ac:dyDescent="0.25">
      <c r="A717" s="91" t="str">
        <f t="shared" si="12"/>
        <v/>
      </c>
    </row>
    <row r="718" spans="1:1" x14ac:dyDescent="0.25">
      <c r="A718" s="91" t="str">
        <f t="shared" si="12"/>
        <v/>
      </c>
    </row>
    <row r="719" spans="1:1" x14ac:dyDescent="0.25">
      <c r="A719" s="91" t="str">
        <f t="shared" si="12"/>
        <v/>
      </c>
    </row>
    <row r="720" spans="1:1" x14ac:dyDescent="0.25">
      <c r="A720" s="91" t="str">
        <f t="shared" si="12"/>
        <v/>
      </c>
    </row>
    <row r="721" spans="1:1" x14ac:dyDescent="0.25">
      <c r="A721" s="91" t="str">
        <f t="shared" si="12"/>
        <v/>
      </c>
    </row>
    <row r="722" spans="1:1" x14ac:dyDescent="0.25">
      <c r="A722" s="91" t="str">
        <f t="shared" si="12"/>
        <v/>
      </c>
    </row>
    <row r="723" spans="1:1" x14ac:dyDescent="0.25">
      <c r="A723" s="91" t="str">
        <f t="shared" si="12"/>
        <v/>
      </c>
    </row>
    <row r="724" spans="1:1" x14ac:dyDescent="0.25">
      <c r="A724" s="91" t="str">
        <f t="shared" si="12"/>
        <v/>
      </c>
    </row>
    <row r="725" spans="1:1" x14ac:dyDescent="0.25">
      <c r="A725" s="91" t="str">
        <f t="shared" si="12"/>
        <v/>
      </c>
    </row>
    <row r="726" spans="1:1" x14ac:dyDescent="0.25">
      <c r="A726" s="91" t="str">
        <f t="shared" si="12"/>
        <v/>
      </c>
    </row>
    <row r="727" spans="1:1" x14ac:dyDescent="0.25">
      <c r="A727" s="91" t="str">
        <f t="shared" si="12"/>
        <v/>
      </c>
    </row>
    <row r="728" spans="1:1" x14ac:dyDescent="0.25">
      <c r="A728" s="91" t="str">
        <f t="shared" si="12"/>
        <v/>
      </c>
    </row>
    <row r="729" spans="1:1" x14ac:dyDescent="0.25">
      <c r="A729" s="91" t="str">
        <f t="shared" si="12"/>
        <v/>
      </c>
    </row>
    <row r="730" spans="1:1" x14ac:dyDescent="0.25">
      <c r="A730" s="91" t="str">
        <f t="shared" si="12"/>
        <v/>
      </c>
    </row>
    <row r="731" spans="1:1" x14ac:dyDescent="0.25">
      <c r="A731" s="91" t="str">
        <f t="shared" si="12"/>
        <v/>
      </c>
    </row>
    <row r="732" spans="1:1" x14ac:dyDescent="0.25">
      <c r="A732" s="91" t="str">
        <f t="shared" si="12"/>
        <v/>
      </c>
    </row>
    <row r="733" spans="1:1" x14ac:dyDescent="0.25">
      <c r="A733" s="91" t="str">
        <f t="shared" si="12"/>
        <v/>
      </c>
    </row>
    <row r="734" spans="1:1" x14ac:dyDescent="0.25">
      <c r="A734" s="91" t="str">
        <f t="shared" si="12"/>
        <v/>
      </c>
    </row>
    <row r="735" spans="1:1" x14ac:dyDescent="0.25">
      <c r="A735" s="91" t="str">
        <f t="shared" si="12"/>
        <v/>
      </c>
    </row>
    <row r="736" spans="1:1" x14ac:dyDescent="0.25">
      <c r="A736" s="91" t="str">
        <f t="shared" si="12"/>
        <v/>
      </c>
    </row>
    <row r="737" spans="1:1" x14ac:dyDescent="0.25">
      <c r="A737" s="91" t="str">
        <f t="shared" si="12"/>
        <v/>
      </c>
    </row>
    <row r="738" spans="1:1" x14ac:dyDescent="0.25">
      <c r="A738" s="91" t="str">
        <f t="shared" ref="A738:A801" si="13">IF(AND(B737&lt;&gt;"",B738=""),"New entry---&gt;","")</f>
        <v/>
      </c>
    </row>
    <row r="739" spans="1:1" x14ac:dyDescent="0.25">
      <c r="A739" s="91" t="str">
        <f t="shared" si="13"/>
        <v/>
      </c>
    </row>
    <row r="740" spans="1:1" x14ac:dyDescent="0.25">
      <c r="A740" s="91" t="str">
        <f t="shared" si="13"/>
        <v/>
      </c>
    </row>
    <row r="741" spans="1:1" x14ac:dyDescent="0.25">
      <c r="A741" s="91" t="str">
        <f t="shared" si="13"/>
        <v/>
      </c>
    </row>
    <row r="742" spans="1:1" x14ac:dyDescent="0.25">
      <c r="A742" s="91" t="str">
        <f t="shared" si="13"/>
        <v/>
      </c>
    </row>
    <row r="743" spans="1:1" x14ac:dyDescent="0.25">
      <c r="A743" s="91" t="str">
        <f t="shared" si="13"/>
        <v/>
      </c>
    </row>
    <row r="744" spans="1:1" x14ac:dyDescent="0.25">
      <c r="A744" s="91" t="str">
        <f t="shared" si="13"/>
        <v/>
      </c>
    </row>
    <row r="745" spans="1:1" x14ac:dyDescent="0.25">
      <c r="A745" s="91" t="str">
        <f t="shared" si="13"/>
        <v/>
      </c>
    </row>
    <row r="746" spans="1:1" x14ac:dyDescent="0.25">
      <c r="A746" s="91" t="str">
        <f t="shared" si="13"/>
        <v/>
      </c>
    </row>
    <row r="747" spans="1:1" x14ac:dyDescent="0.25">
      <c r="A747" s="91" t="str">
        <f t="shared" si="13"/>
        <v/>
      </c>
    </row>
    <row r="748" spans="1:1" x14ac:dyDescent="0.25">
      <c r="A748" s="91" t="str">
        <f t="shared" si="13"/>
        <v/>
      </c>
    </row>
    <row r="749" spans="1:1" x14ac:dyDescent="0.25">
      <c r="A749" s="91" t="str">
        <f t="shared" si="13"/>
        <v/>
      </c>
    </row>
    <row r="750" spans="1:1" x14ac:dyDescent="0.25">
      <c r="A750" s="91" t="str">
        <f t="shared" si="13"/>
        <v/>
      </c>
    </row>
    <row r="751" spans="1:1" x14ac:dyDescent="0.25">
      <c r="A751" s="91" t="str">
        <f t="shared" si="13"/>
        <v/>
      </c>
    </row>
    <row r="752" spans="1:1" x14ac:dyDescent="0.25">
      <c r="A752" s="91" t="str">
        <f t="shared" si="13"/>
        <v/>
      </c>
    </row>
    <row r="753" spans="1:1" x14ac:dyDescent="0.25">
      <c r="A753" s="91" t="str">
        <f t="shared" si="13"/>
        <v/>
      </c>
    </row>
    <row r="754" spans="1:1" x14ac:dyDescent="0.25">
      <c r="A754" s="91" t="str">
        <f t="shared" si="13"/>
        <v/>
      </c>
    </row>
    <row r="755" spans="1:1" x14ac:dyDescent="0.25">
      <c r="A755" s="91" t="str">
        <f t="shared" si="13"/>
        <v/>
      </c>
    </row>
    <row r="756" spans="1:1" x14ac:dyDescent="0.25">
      <c r="A756" s="91" t="str">
        <f t="shared" si="13"/>
        <v/>
      </c>
    </row>
    <row r="757" spans="1:1" x14ac:dyDescent="0.25">
      <c r="A757" s="91" t="str">
        <f t="shared" si="13"/>
        <v/>
      </c>
    </row>
    <row r="758" spans="1:1" x14ac:dyDescent="0.25">
      <c r="A758" s="91" t="str">
        <f t="shared" si="13"/>
        <v/>
      </c>
    </row>
    <row r="759" spans="1:1" x14ac:dyDescent="0.25">
      <c r="A759" s="91" t="str">
        <f t="shared" si="13"/>
        <v/>
      </c>
    </row>
    <row r="760" spans="1:1" x14ac:dyDescent="0.25">
      <c r="A760" s="91" t="str">
        <f t="shared" si="13"/>
        <v/>
      </c>
    </row>
    <row r="761" spans="1:1" x14ac:dyDescent="0.25">
      <c r="A761" s="91" t="str">
        <f t="shared" si="13"/>
        <v/>
      </c>
    </row>
    <row r="762" spans="1:1" x14ac:dyDescent="0.25">
      <c r="A762" s="91" t="str">
        <f t="shared" si="13"/>
        <v/>
      </c>
    </row>
    <row r="763" spans="1:1" x14ac:dyDescent="0.25">
      <c r="A763" s="91" t="str">
        <f t="shared" si="13"/>
        <v/>
      </c>
    </row>
    <row r="764" spans="1:1" x14ac:dyDescent="0.25">
      <c r="A764" s="91" t="str">
        <f t="shared" si="13"/>
        <v/>
      </c>
    </row>
    <row r="765" spans="1:1" x14ac:dyDescent="0.25">
      <c r="A765" s="91" t="str">
        <f t="shared" si="13"/>
        <v/>
      </c>
    </row>
    <row r="766" spans="1:1" x14ac:dyDescent="0.25">
      <c r="A766" s="91" t="str">
        <f t="shared" si="13"/>
        <v/>
      </c>
    </row>
    <row r="767" spans="1:1" x14ac:dyDescent="0.25">
      <c r="A767" s="91" t="str">
        <f t="shared" si="13"/>
        <v/>
      </c>
    </row>
    <row r="768" spans="1:1" x14ac:dyDescent="0.25">
      <c r="A768" s="91" t="str">
        <f t="shared" si="13"/>
        <v/>
      </c>
    </row>
    <row r="769" spans="1:1" x14ac:dyDescent="0.25">
      <c r="A769" s="91" t="str">
        <f t="shared" si="13"/>
        <v/>
      </c>
    </row>
    <row r="770" spans="1:1" x14ac:dyDescent="0.25">
      <c r="A770" s="91" t="str">
        <f t="shared" si="13"/>
        <v/>
      </c>
    </row>
    <row r="771" spans="1:1" x14ac:dyDescent="0.25">
      <c r="A771" s="91" t="str">
        <f t="shared" si="13"/>
        <v/>
      </c>
    </row>
    <row r="772" spans="1:1" x14ac:dyDescent="0.25">
      <c r="A772" s="91" t="str">
        <f t="shared" si="13"/>
        <v/>
      </c>
    </row>
    <row r="773" spans="1:1" x14ac:dyDescent="0.25">
      <c r="A773" s="91" t="str">
        <f t="shared" si="13"/>
        <v/>
      </c>
    </row>
    <row r="774" spans="1:1" x14ac:dyDescent="0.25">
      <c r="A774" s="91" t="str">
        <f t="shared" si="13"/>
        <v/>
      </c>
    </row>
    <row r="775" spans="1:1" x14ac:dyDescent="0.25">
      <c r="A775" s="91" t="str">
        <f t="shared" si="13"/>
        <v/>
      </c>
    </row>
    <row r="776" spans="1:1" x14ac:dyDescent="0.25">
      <c r="A776" s="91" t="str">
        <f t="shared" si="13"/>
        <v/>
      </c>
    </row>
    <row r="777" spans="1:1" x14ac:dyDescent="0.25">
      <c r="A777" s="91" t="str">
        <f t="shared" si="13"/>
        <v/>
      </c>
    </row>
    <row r="778" spans="1:1" x14ac:dyDescent="0.25">
      <c r="A778" s="91" t="str">
        <f t="shared" si="13"/>
        <v/>
      </c>
    </row>
    <row r="779" spans="1:1" x14ac:dyDescent="0.25">
      <c r="A779" s="91" t="str">
        <f t="shared" si="13"/>
        <v/>
      </c>
    </row>
    <row r="780" spans="1:1" x14ac:dyDescent="0.25">
      <c r="A780" s="91" t="str">
        <f t="shared" si="13"/>
        <v/>
      </c>
    </row>
    <row r="781" spans="1:1" x14ac:dyDescent="0.25">
      <c r="A781" s="91" t="str">
        <f t="shared" si="13"/>
        <v/>
      </c>
    </row>
    <row r="782" spans="1:1" x14ac:dyDescent="0.25">
      <c r="A782" s="91" t="str">
        <f t="shared" si="13"/>
        <v/>
      </c>
    </row>
    <row r="783" spans="1:1" x14ac:dyDescent="0.25">
      <c r="A783" s="91" t="str">
        <f t="shared" si="13"/>
        <v/>
      </c>
    </row>
    <row r="784" spans="1:1" x14ac:dyDescent="0.25">
      <c r="A784" s="91" t="str">
        <f t="shared" si="13"/>
        <v/>
      </c>
    </row>
    <row r="785" spans="1:1" x14ac:dyDescent="0.25">
      <c r="A785" s="91" t="str">
        <f t="shared" si="13"/>
        <v/>
      </c>
    </row>
    <row r="786" spans="1:1" x14ac:dyDescent="0.25">
      <c r="A786" s="91" t="str">
        <f t="shared" si="13"/>
        <v/>
      </c>
    </row>
    <row r="787" spans="1:1" x14ac:dyDescent="0.25">
      <c r="A787" s="91" t="str">
        <f t="shared" si="13"/>
        <v/>
      </c>
    </row>
    <row r="788" spans="1:1" x14ac:dyDescent="0.25">
      <c r="A788" s="91" t="str">
        <f t="shared" si="13"/>
        <v/>
      </c>
    </row>
    <row r="789" spans="1:1" x14ac:dyDescent="0.25">
      <c r="A789" s="91" t="str">
        <f t="shared" si="13"/>
        <v/>
      </c>
    </row>
    <row r="790" spans="1:1" x14ac:dyDescent="0.25">
      <c r="A790" s="91" t="str">
        <f t="shared" si="13"/>
        <v/>
      </c>
    </row>
    <row r="791" spans="1:1" x14ac:dyDescent="0.25">
      <c r="A791" s="91" t="str">
        <f t="shared" si="13"/>
        <v/>
      </c>
    </row>
    <row r="792" spans="1:1" x14ac:dyDescent="0.25">
      <c r="A792" s="91" t="str">
        <f t="shared" si="13"/>
        <v/>
      </c>
    </row>
    <row r="793" spans="1:1" x14ac:dyDescent="0.25">
      <c r="A793" s="91" t="str">
        <f t="shared" si="13"/>
        <v/>
      </c>
    </row>
    <row r="794" spans="1:1" x14ac:dyDescent="0.25">
      <c r="A794" s="91" t="str">
        <f t="shared" si="13"/>
        <v/>
      </c>
    </row>
    <row r="795" spans="1:1" x14ac:dyDescent="0.25">
      <c r="A795" s="91" t="str">
        <f t="shared" si="13"/>
        <v/>
      </c>
    </row>
    <row r="796" spans="1:1" x14ac:dyDescent="0.25">
      <c r="A796" s="91" t="str">
        <f t="shared" si="13"/>
        <v/>
      </c>
    </row>
    <row r="797" spans="1:1" x14ac:dyDescent="0.25">
      <c r="A797" s="91" t="str">
        <f t="shared" si="13"/>
        <v/>
      </c>
    </row>
    <row r="798" spans="1:1" x14ac:dyDescent="0.25">
      <c r="A798" s="91" t="str">
        <f t="shared" si="13"/>
        <v/>
      </c>
    </row>
    <row r="799" spans="1:1" x14ac:dyDescent="0.25">
      <c r="A799" s="91" t="str">
        <f t="shared" si="13"/>
        <v/>
      </c>
    </row>
    <row r="800" spans="1:1" x14ac:dyDescent="0.25">
      <c r="A800" s="91" t="str">
        <f t="shared" si="13"/>
        <v/>
      </c>
    </row>
    <row r="801" spans="1:1" x14ac:dyDescent="0.25">
      <c r="A801" s="91" t="str">
        <f t="shared" si="13"/>
        <v/>
      </c>
    </row>
    <row r="802" spans="1:1" x14ac:dyDescent="0.25">
      <c r="A802" s="91" t="str">
        <f t="shared" ref="A802:A865" si="14">IF(AND(B801&lt;&gt;"",B802=""),"New entry---&gt;","")</f>
        <v/>
      </c>
    </row>
    <row r="803" spans="1:1" x14ac:dyDescent="0.25">
      <c r="A803" s="91" t="str">
        <f t="shared" si="14"/>
        <v/>
      </c>
    </row>
    <row r="804" spans="1:1" x14ac:dyDescent="0.25">
      <c r="A804" s="91" t="str">
        <f t="shared" si="14"/>
        <v/>
      </c>
    </row>
    <row r="805" spans="1:1" x14ac:dyDescent="0.25">
      <c r="A805" s="91" t="str">
        <f t="shared" si="14"/>
        <v/>
      </c>
    </row>
    <row r="806" spans="1:1" x14ac:dyDescent="0.25">
      <c r="A806" s="91" t="str">
        <f t="shared" si="14"/>
        <v/>
      </c>
    </row>
    <row r="807" spans="1:1" x14ac:dyDescent="0.25">
      <c r="A807" s="91" t="str">
        <f t="shared" si="14"/>
        <v/>
      </c>
    </row>
    <row r="808" spans="1:1" x14ac:dyDescent="0.25">
      <c r="A808" s="91" t="str">
        <f t="shared" si="14"/>
        <v/>
      </c>
    </row>
    <row r="809" spans="1:1" x14ac:dyDescent="0.25">
      <c r="A809" s="91" t="str">
        <f t="shared" si="14"/>
        <v/>
      </c>
    </row>
    <row r="810" spans="1:1" x14ac:dyDescent="0.25">
      <c r="A810" s="91" t="str">
        <f t="shared" si="14"/>
        <v/>
      </c>
    </row>
    <row r="811" spans="1:1" x14ac:dyDescent="0.25">
      <c r="A811" s="91" t="str">
        <f t="shared" si="14"/>
        <v/>
      </c>
    </row>
    <row r="812" spans="1:1" x14ac:dyDescent="0.25">
      <c r="A812" s="91" t="str">
        <f t="shared" si="14"/>
        <v/>
      </c>
    </row>
    <row r="813" spans="1:1" x14ac:dyDescent="0.25">
      <c r="A813" s="91" t="str">
        <f t="shared" si="14"/>
        <v/>
      </c>
    </row>
    <row r="814" spans="1:1" x14ac:dyDescent="0.25">
      <c r="A814" s="91" t="str">
        <f t="shared" si="14"/>
        <v/>
      </c>
    </row>
    <row r="815" spans="1:1" x14ac:dyDescent="0.25">
      <c r="A815" s="91" t="str">
        <f t="shared" si="14"/>
        <v/>
      </c>
    </row>
    <row r="816" spans="1:1" x14ac:dyDescent="0.25">
      <c r="A816" s="91" t="str">
        <f t="shared" si="14"/>
        <v/>
      </c>
    </row>
    <row r="817" spans="1:1" x14ac:dyDescent="0.25">
      <c r="A817" s="91" t="str">
        <f t="shared" si="14"/>
        <v/>
      </c>
    </row>
    <row r="818" spans="1:1" x14ac:dyDescent="0.25">
      <c r="A818" s="91" t="str">
        <f t="shared" si="14"/>
        <v/>
      </c>
    </row>
    <row r="819" spans="1:1" x14ac:dyDescent="0.25">
      <c r="A819" s="91" t="str">
        <f t="shared" si="14"/>
        <v/>
      </c>
    </row>
    <row r="820" spans="1:1" x14ac:dyDescent="0.25">
      <c r="A820" s="91" t="str">
        <f t="shared" si="14"/>
        <v/>
      </c>
    </row>
    <row r="821" spans="1:1" x14ac:dyDescent="0.25">
      <c r="A821" s="91" t="str">
        <f t="shared" si="14"/>
        <v/>
      </c>
    </row>
    <row r="822" spans="1:1" x14ac:dyDescent="0.25">
      <c r="A822" s="91" t="str">
        <f t="shared" si="14"/>
        <v/>
      </c>
    </row>
    <row r="823" spans="1:1" x14ac:dyDescent="0.25">
      <c r="A823" s="91" t="str">
        <f t="shared" si="14"/>
        <v/>
      </c>
    </row>
    <row r="824" spans="1:1" x14ac:dyDescent="0.25">
      <c r="A824" s="91" t="str">
        <f t="shared" si="14"/>
        <v/>
      </c>
    </row>
    <row r="825" spans="1:1" x14ac:dyDescent="0.25">
      <c r="A825" s="91" t="str">
        <f t="shared" si="14"/>
        <v/>
      </c>
    </row>
    <row r="826" spans="1:1" x14ac:dyDescent="0.25">
      <c r="A826" s="91" t="str">
        <f t="shared" si="14"/>
        <v/>
      </c>
    </row>
    <row r="827" spans="1:1" x14ac:dyDescent="0.25">
      <c r="A827" s="91" t="str">
        <f t="shared" si="14"/>
        <v/>
      </c>
    </row>
    <row r="828" spans="1:1" x14ac:dyDescent="0.25">
      <c r="A828" s="91" t="str">
        <f t="shared" si="14"/>
        <v/>
      </c>
    </row>
    <row r="829" spans="1:1" x14ac:dyDescent="0.25">
      <c r="A829" s="91" t="str">
        <f t="shared" si="14"/>
        <v/>
      </c>
    </row>
    <row r="830" spans="1:1" x14ac:dyDescent="0.25">
      <c r="A830" s="91" t="str">
        <f t="shared" si="14"/>
        <v/>
      </c>
    </row>
    <row r="831" spans="1:1" x14ac:dyDescent="0.25">
      <c r="A831" s="91" t="str">
        <f t="shared" si="14"/>
        <v/>
      </c>
    </row>
    <row r="832" spans="1:1" x14ac:dyDescent="0.25">
      <c r="A832" s="91" t="str">
        <f t="shared" si="14"/>
        <v/>
      </c>
    </row>
    <row r="833" spans="1:1" x14ac:dyDescent="0.25">
      <c r="A833" s="91" t="str">
        <f t="shared" si="14"/>
        <v/>
      </c>
    </row>
    <row r="834" spans="1:1" x14ac:dyDescent="0.25">
      <c r="A834" s="91" t="str">
        <f t="shared" si="14"/>
        <v/>
      </c>
    </row>
    <row r="835" spans="1:1" x14ac:dyDescent="0.25">
      <c r="A835" s="91" t="str">
        <f t="shared" si="14"/>
        <v/>
      </c>
    </row>
    <row r="836" spans="1:1" x14ac:dyDescent="0.25">
      <c r="A836" s="91" t="str">
        <f t="shared" si="14"/>
        <v/>
      </c>
    </row>
    <row r="837" spans="1:1" x14ac:dyDescent="0.25">
      <c r="A837" s="91" t="str">
        <f t="shared" si="14"/>
        <v/>
      </c>
    </row>
    <row r="838" spans="1:1" x14ac:dyDescent="0.25">
      <c r="A838" s="91" t="str">
        <f t="shared" si="14"/>
        <v/>
      </c>
    </row>
    <row r="839" spans="1:1" x14ac:dyDescent="0.25">
      <c r="A839" s="91" t="str">
        <f t="shared" si="14"/>
        <v/>
      </c>
    </row>
    <row r="840" spans="1:1" x14ac:dyDescent="0.25">
      <c r="A840" s="91" t="str">
        <f t="shared" si="14"/>
        <v/>
      </c>
    </row>
    <row r="841" spans="1:1" x14ac:dyDescent="0.25">
      <c r="A841" s="91" t="str">
        <f t="shared" si="14"/>
        <v/>
      </c>
    </row>
    <row r="842" spans="1:1" x14ac:dyDescent="0.25">
      <c r="A842" s="91" t="str">
        <f t="shared" si="14"/>
        <v/>
      </c>
    </row>
    <row r="843" spans="1:1" x14ac:dyDescent="0.25">
      <c r="A843" s="91" t="str">
        <f t="shared" si="14"/>
        <v/>
      </c>
    </row>
    <row r="844" spans="1:1" x14ac:dyDescent="0.25">
      <c r="A844" s="91" t="str">
        <f t="shared" si="14"/>
        <v/>
      </c>
    </row>
    <row r="845" spans="1:1" x14ac:dyDescent="0.25">
      <c r="A845" s="91" t="str">
        <f t="shared" si="14"/>
        <v/>
      </c>
    </row>
    <row r="846" spans="1:1" x14ac:dyDescent="0.25">
      <c r="A846" s="91" t="str">
        <f t="shared" si="14"/>
        <v/>
      </c>
    </row>
    <row r="847" spans="1:1" x14ac:dyDescent="0.25">
      <c r="A847" s="91" t="str">
        <f t="shared" si="14"/>
        <v/>
      </c>
    </row>
    <row r="848" spans="1:1" x14ac:dyDescent="0.25">
      <c r="A848" s="91" t="str">
        <f t="shared" si="14"/>
        <v/>
      </c>
    </row>
    <row r="849" spans="1:1" x14ac:dyDescent="0.25">
      <c r="A849" s="91" t="str">
        <f t="shared" si="14"/>
        <v/>
      </c>
    </row>
    <row r="850" spans="1:1" x14ac:dyDescent="0.25">
      <c r="A850" s="91" t="str">
        <f t="shared" si="14"/>
        <v/>
      </c>
    </row>
    <row r="851" spans="1:1" x14ac:dyDescent="0.25">
      <c r="A851" s="91" t="str">
        <f t="shared" si="14"/>
        <v/>
      </c>
    </row>
    <row r="852" spans="1:1" x14ac:dyDescent="0.25">
      <c r="A852" s="91" t="str">
        <f t="shared" si="14"/>
        <v/>
      </c>
    </row>
    <row r="853" spans="1:1" x14ac:dyDescent="0.25">
      <c r="A853" s="91" t="str">
        <f t="shared" si="14"/>
        <v/>
      </c>
    </row>
    <row r="854" spans="1:1" x14ac:dyDescent="0.25">
      <c r="A854" s="91" t="str">
        <f t="shared" si="14"/>
        <v/>
      </c>
    </row>
    <row r="855" spans="1:1" x14ac:dyDescent="0.25">
      <c r="A855" s="91" t="str">
        <f t="shared" si="14"/>
        <v/>
      </c>
    </row>
    <row r="856" spans="1:1" x14ac:dyDescent="0.25">
      <c r="A856" s="91" t="str">
        <f t="shared" si="14"/>
        <v/>
      </c>
    </row>
    <row r="857" spans="1:1" x14ac:dyDescent="0.25">
      <c r="A857" s="91" t="str">
        <f t="shared" si="14"/>
        <v/>
      </c>
    </row>
    <row r="858" spans="1:1" x14ac:dyDescent="0.25">
      <c r="A858" s="91" t="str">
        <f t="shared" si="14"/>
        <v/>
      </c>
    </row>
    <row r="859" spans="1:1" x14ac:dyDescent="0.25">
      <c r="A859" s="91" t="str">
        <f t="shared" si="14"/>
        <v/>
      </c>
    </row>
    <row r="860" spans="1:1" x14ac:dyDescent="0.25">
      <c r="A860" s="91" t="str">
        <f t="shared" si="14"/>
        <v/>
      </c>
    </row>
    <row r="861" spans="1:1" x14ac:dyDescent="0.25">
      <c r="A861" s="91" t="str">
        <f t="shared" si="14"/>
        <v/>
      </c>
    </row>
    <row r="862" spans="1:1" x14ac:dyDescent="0.25">
      <c r="A862" s="91" t="str">
        <f t="shared" si="14"/>
        <v/>
      </c>
    </row>
    <row r="863" spans="1:1" x14ac:dyDescent="0.25">
      <c r="A863" s="91" t="str">
        <f t="shared" si="14"/>
        <v/>
      </c>
    </row>
    <row r="864" spans="1:1" x14ac:dyDescent="0.25">
      <c r="A864" s="91" t="str">
        <f t="shared" si="14"/>
        <v/>
      </c>
    </row>
    <row r="865" spans="1:1" x14ac:dyDescent="0.25">
      <c r="A865" s="91" t="str">
        <f t="shared" si="14"/>
        <v/>
      </c>
    </row>
    <row r="866" spans="1:1" x14ac:dyDescent="0.25">
      <c r="A866" s="91" t="str">
        <f t="shared" ref="A866:A929" si="15">IF(AND(B865&lt;&gt;"",B866=""),"New entry---&gt;","")</f>
        <v/>
      </c>
    </row>
    <row r="867" spans="1:1" x14ac:dyDescent="0.25">
      <c r="A867" s="91" t="str">
        <f t="shared" si="15"/>
        <v/>
      </c>
    </row>
    <row r="868" spans="1:1" x14ac:dyDescent="0.25">
      <c r="A868" s="91" t="str">
        <f t="shared" si="15"/>
        <v/>
      </c>
    </row>
    <row r="869" spans="1:1" x14ac:dyDescent="0.25">
      <c r="A869" s="91" t="str">
        <f t="shared" si="15"/>
        <v/>
      </c>
    </row>
    <row r="870" spans="1:1" x14ac:dyDescent="0.25">
      <c r="A870" s="91" t="str">
        <f t="shared" si="15"/>
        <v/>
      </c>
    </row>
    <row r="871" spans="1:1" x14ac:dyDescent="0.25">
      <c r="A871" s="91" t="str">
        <f t="shared" si="15"/>
        <v/>
      </c>
    </row>
    <row r="872" spans="1:1" x14ac:dyDescent="0.25">
      <c r="A872" s="91" t="str">
        <f t="shared" si="15"/>
        <v/>
      </c>
    </row>
    <row r="873" spans="1:1" x14ac:dyDescent="0.25">
      <c r="A873" s="91" t="str">
        <f t="shared" si="15"/>
        <v/>
      </c>
    </row>
    <row r="874" spans="1:1" x14ac:dyDescent="0.25">
      <c r="A874" s="91" t="str">
        <f t="shared" si="15"/>
        <v/>
      </c>
    </row>
    <row r="875" spans="1:1" x14ac:dyDescent="0.25">
      <c r="A875" s="91" t="str">
        <f t="shared" si="15"/>
        <v/>
      </c>
    </row>
    <row r="876" spans="1:1" x14ac:dyDescent="0.25">
      <c r="A876" s="91" t="str">
        <f t="shared" si="15"/>
        <v/>
      </c>
    </row>
    <row r="877" spans="1:1" x14ac:dyDescent="0.25">
      <c r="A877" s="91" t="str">
        <f t="shared" si="15"/>
        <v/>
      </c>
    </row>
    <row r="878" spans="1:1" x14ac:dyDescent="0.25">
      <c r="A878" s="91" t="str">
        <f t="shared" si="15"/>
        <v/>
      </c>
    </row>
    <row r="879" spans="1:1" x14ac:dyDescent="0.25">
      <c r="A879" s="91" t="str">
        <f t="shared" si="15"/>
        <v/>
      </c>
    </row>
    <row r="880" spans="1:1" x14ac:dyDescent="0.25">
      <c r="A880" s="91" t="str">
        <f t="shared" si="15"/>
        <v/>
      </c>
    </row>
    <row r="881" spans="1:1" x14ac:dyDescent="0.25">
      <c r="A881" s="91" t="str">
        <f t="shared" si="15"/>
        <v/>
      </c>
    </row>
    <row r="882" spans="1:1" x14ac:dyDescent="0.25">
      <c r="A882" s="91" t="str">
        <f t="shared" si="15"/>
        <v/>
      </c>
    </row>
    <row r="883" spans="1:1" x14ac:dyDescent="0.25">
      <c r="A883" s="91" t="str">
        <f t="shared" si="15"/>
        <v/>
      </c>
    </row>
    <row r="884" spans="1:1" x14ac:dyDescent="0.25">
      <c r="A884" s="91" t="str">
        <f t="shared" si="15"/>
        <v/>
      </c>
    </row>
    <row r="885" spans="1:1" x14ac:dyDescent="0.25">
      <c r="A885" s="91" t="str">
        <f t="shared" si="15"/>
        <v/>
      </c>
    </row>
    <row r="886" spans="1:1" x14ac:dyDescent="0.25">
      <c r="A886" s="91" t="str">
        <f t="shared" si="15"/>
        <v/>
      </c>
    </row>
    <row r="887" spans="1:1" x14ac:dyDescent="0.25">
      <c r="A887" s="91" t="str">
        <f t="shared" si="15"/>
        <v/>
      </c>
    </row>
    <row r="888" spans="1:1" x14ac:dyDescent="0.25">
      <c r="A888" s="91" t="str">
        <f t="shared" si="15"/>
        <v/>
      </c>
    </row>
    <row r="889" spans="1:1" x14ac:dyDescent="0.25">
      <c r="A889" s="91" t="str">
        <f t="shared" si="15"/>
        <v/>
      </c>
    </row>
    <row r="890" spans="1:1" x14ac:dyDescent="0.25">
      <c r="A890" s="91" t="str">
        <f t="shared" si="15"/>
        <v/>
      </c>
    </row>
    <row r="891" spans="1:1" x14ac:dyDescent="0.25">
      <c r="A891" s="91" t="str">
        <f t="shared" si="15"/>
        <v/>
      </c>
    </row>
    <row r="892" spans="1:1" x14ac:dyDescent="0.25">
      <c r="A892" s="91" t="str">
        <f t="shared" si="15"/>
        <v/>
      </c>
    </row>
    <row r="893" spans="1:1" x14ac:dyDescent="0.25">
      <c r="A893" s="91" t="str">
        <f t="shared" si="15"/>
        <v/>
      </c>
    </row>
    <row r="894" spans="1:1" x14ac:dyDescent="0.25">
      <c r="A894" s="91" t="str">
        <f t="shared" si="15"/>
        <v/>
      </c>
    </row>
    <row r="895" spans="1:1" x14ac:dyDescent="0.25">
      <c r="A895" s="91" t="str">
        <f t="shared" si="15"/>
        <v/>
      </c>
    </row>
    <row r="896" spans="1:1" x14ac:dyDescent="0.25">
      <c r="A896" s="91" t="str">
        <f t="shared" si="15"/>
        <v/>
      </c>
    </row>
    <row r="897" spans="1:1" x14ac:dyDescent="0.25">
      <c r="A897" s="91" t="str">
        <f t="shared" si="15"/>
        <v/>
      </c>
    </row>
    <row r="898" spans="1:1" x14ac:dyDescent="0.25">
      <c r="A898" s="91" t="str">
        <f t="shared" si="15"/>
        <v/>
      </c>
    </row>
    <row r="899" spans="1:1" x14ac:dyDescent="0.25">
      <c r="A899" s="91" t="str">
        <f t="shared" si="15"/>
        <v/>
      </c>
    </row>
    <row r="900" spans="1:1" x14ac:dyDescent="0.25">
      <c r="A900" s="91" t="str">
        <f t="shared" si="15"/>
        <v/>
      </c>
    </row>
    <row r="901" spans="1:1" x14ac:dyDescent="0.25">
      <c r="A901" s="91" t="str">
        <f t="shared" si="15"/>
        <v/>
      </c>
    </row>
    <row r="902" spans="1:1" x14ac:dyDescent="0.25">
      <c r="A902" s="91" t="str">
        <f t="shared" si="15"/>
        <v/>
      </c>
    </row>
    <row r="903" spans="1:1" x14ac:dyDescent="0.25">
      <c r="A903" s="91" t="str">
        <f t="shared" si="15"/>
        <v/>
      </c>
    </row>
    <row r="904" spans="1:1" x14ac:dyDescent="0.25">
      <c r="A904" s="91" t="str">
        <f t="shared" si="15"/>
        <v/>
      </c>
    </row>
    <row r="905" spans="1:1" x14ac:dyDescent="0.25">
      <c r="A905" s="91" t="str">
        <f t="shared" si="15"/>
        <v/>
      </c>
    </row>
    <row r="906" spans="1:1" x14ac:dyDescent="0.25">
      <c r="A906" s="91" t="str">
        <f t="shared" si="15"/>
        <v/>
      </c>
    </row>
    <row r="907" spans="1:1" x14ac:dyDescent="0.25">
      <c r="A907" s="91" t="str">
        <f t="shared" si="15"/>
        <v/>
      </c>
    </row>
    <row r="908" spans="1:1" x14ac:dyDescent="0.25">
      <c r="A908" s="91" t="str">
        <f t="shared" si="15"/>
        <v/>
      </c>
    </row>
    <row r="909" spans="1:1" x14ac:dyDescent="0.25">
      <c r="A909" s="91" t="str">
        <f t="shared" si="15"/>
        <v/>
      </c>
    </row>
    <row r="910" spans="1:1" x14ac:dyDescent="0.25">
      <c r="A910" s="91" t="str">
        <f t="shared" si="15"/>
        <v/>
      </c>
    </row>
    <row r="911" spans="1:1" x14ac:dyDescent="0.25">
      <c r="A911" s="91" t="str">
        <f t="shared" si="15"/>
        <v/>
      </c>
    </row>
    <row r="912" spans="1:1" x14ac:dyDescent="0.25">
      <c r="A912" s="91" t="str">
        <f t="shared" si="15"/>
        <v/>
      </c>
    </row>
    <row r="913" spans="1:1" x14ac:dyDescent="0.25">
      <c r="A913" s="91" t="str">
        <f t="shared" si="15"/>
        <v/>
      </c>
    </row>
    <row r="914" spans="1:1" x14ac:dyDescent="0.25">
      <c r="A914" s="91" t="str">
        <f t="shared" si="15"/>
        <v/>
      </c>
    </row>
    <row r="915" spans="1:1" x14ac:dyDescent="0.25">
      <c r="A915" s="91" t="str">
        <f t="shared" si="15"/>
        <v/>
      </c>
    </row>
    <row r="916" spans="1:1" x14ac:dyDescent="0.25">
      <c r="A916" s="91" t="str">
        <f t="shared" si="15"/>
        <v/>
      </c>
    </row>
    <row r="917" spans="1:1" x14ac:dyDescent="0.25">
      <c r="A917" s="91" t="str">
        <f t="shared" si="15"/>
        <v/>
      </c>
    </row>
    <row r="918" spans="1:1" x14ac:dyDescent="0.25">
      <c r="A918" s="91" t="str">
        <f t="shared" si="15"/>
        <v/>
      </c>
    </row>
    <row r="919" spans="1:1" x14ac:dyDescent="0.25">
      <c r="A919" s="91" t="str">
        <f t="shared" si="15"/>
        <v/>
      </c>
    </row>
    <row r="920" spans="1:1" x14ac:dyDescent="0.25">
      <c r="A920" s="91" t="str">
        <f t="shared" si="15"/>
        <v/>
      </c>
    </row>
    <row r="921" spans="1:1" x14ac:dyDescent="0.25">
      <c r="A921" s="91" t="str">
        <f t="shared" si="15"/>
        <v/>
      </c>
    </row>
    <row r="922" spans="1:1" x14ac:dyDescent="0.25">
      <c r="A922" s="91" t="str">
        <f t="shared" si="15"/>
        <v/>
      </c>
    </row>
    <row r="923" spans="1:1" x14ac:dyDescent="0.25">
      <c r="A923" s="91" t="str">
        <f t="shared" si="15"/>
        <v/>
      </c>
    </row>
    <row r="924" spans="1:1" x14ac:dyDescent="0.25">
      <c r="A924" s="91" t="str">
        <f t="shared" si="15"/>
        <v/>
      </c>
    </row>
    <row r="925" spans="1:1" x14ac:dyDescent="0.25">
      <c r="A925" s="91" t="str">
        <f t="shared" si="15"/>
        <v/>
      </c>
    </row>
    <row r="926" spans="1:1" x14ac:dyDescent="0.25">
      <c r="A926" s="91" t="str">
        <f t="shared" si="15"/>
        <v/>
      </c>
    </row>
    <row r="927" spans="1:1" x14ac:dyDescent="0.25">
      <c r="A927" s="91" t="str">
        <f t="shared" si="15"/>
        <v/>
      </c>
    </row>
    <row r="928" spans="1:1" x14ac:dyDescent="0.25">
      <c r="A928" s="91" t="str">
        <f t="shared" si="15"/>
        <v/>
      </c>
    </row>
    <row r="929" spans="1:1" x14ac:dyDescent="0.25">
      <c r="A929" s="91" t="str">
        <f t="shared" si="15"/>
        <v/>
      </c>
    </row>
    <row r="930" spans="1:1" x14ac:dyDescent="0.25">
      <c r="A930" s="91" t="str">
        <f t="shared" ref="A930:A993" si="16">IF(AND(B929&lt;&gt;"",B930=""),"New entry---&gt;","")</f>
        <v/>
      </c>
    </row>
    <row r="931" spans="1:1" x14ac:dyDescent="0.25">
      <c r="A931" s="91" t="str">
        <f t="shared" si="16"/>
        <v/>
      </c>
    </row>
    <row r="932" spans="1:1" x14ac:dyDescent="0.25">
      <c r="A932" s="91" t="str">
        <f t="shared" si="16"/>
        <v/>
      </c>
    </row>
    <row r="933" spans="1:1" x14ac:dyDescent="0.25">
      <c r="A933" s="91" t="str">
        <f t="shared" si="16"/>
        <v/>
      </c>
    </row>
    <row r="934" spans="1:1" x14ac:dyDescent="0.25">
      <c r="A934" s="91" t="str">
        <f t="shared" si="16"/>
        <v/>
      </c>
    </row>
    <row r="935" spans="1:1" x14ac:dyDescent="0.25">
      <c r="A935" s="91" t="str">
        <f t="shared" si="16"/>
        <v/>
      </c>
    </row>
    <row r="936" spans="1:1" x14ac:dyDescent="0.25">
      <c r="A936" s="91" t="str">
        <f t="shared" si="16"/>
        <v/>
      </c>
    </row>
    <row r="937" spans="1:1" x14ac:dyDescent="0.25">
      <c r="A937" s="91" t="str">
        <f t="shared" si="16"/>
        <v/>
      </c>
    </row>
    <row r="938" spans="1:1" x14ac:dyDescent="0.25">
      <c r="A938" s="91" t="str">
        <f t="shared" si="16"/>
        <v/>
      </c>
    </row>
    <row r="939" spans="1:1" x14ac:dyDescent="0.25">
      <c r="A939" s="91" t="str">
        <f t="shared" si="16"/>
        <v/>
      </c>
    </row>
    <row r="940" spans="1:1" x14ac:dyDescent="0.25">
      <c r="A940" s="91" t="str">
        <f t="shared" si="16"/>
        <v/>
      </c>
    </row>
    <row r="941" spans="1:1" x14ac:dyDescent="0.25">
      <c r="A941" s="91" t="str">
        <f t="shared" si="16"/>
        <v/>
      </c>
    </row>
    <row r="942" spans="1:1" x14ac:dyDescent="0.25">
      <c r="A942" s="91" t="str">
        <f t="shared" si="16"/>
        <v/>
      </c>
    </row>
    <row r="943" spans="1:1" x14ac:dyDescent="0.25">
      <c r="A943" s="91" t="str">
        <f t="shared" si="16"/>
        <v/>
      </c>
    </row>
    <row r="944" spans="1:1" x14ac:dyDescent="0.25">
      <c r="A944" s="91" t="str">
        <f t="shared" si="16"/>
        <v/>
      </c>
    </row>
    <row r="945" spans="1:1" x14ac:dyDescent="0.25">
      <c r="A945" s="91" t="str">
        <f t="shared" si="16"/>
        <v/>
      </c>
    </row>
    <row r="946" spans="1:1" x14ac:dyDescent="0.25">
      <c r="A946" s="91" t="str">
        <f t="shared" si="16"/>
        <v/>
      </c>
    </row>
    <row r="947" spans="1:1" x14ac:dyDescent="0.25">
      <c r="A947" s="91" t="str">
        <f t="shared" si="16"/>
        <v/>
      </c>
    </row>
    <row r="948" spans="1:1" x14ac:dyDescent="0.25">
      <c r="A948" s="91" t="str">
        <f t="shared" si="16"/>
        <v/>
      </c>
    </row>
    <row r="949" spans="1:1" x14ac:dyDescent="0.25">
      <c r="A949" s="91" t="str">
        <f t="shared" si="16"/>
        <v/>
      </c>
    </row>
    <row r="950" spans="1:1" x14ac:dyDescent="0.25">
      <c r="A950" s="91" t="str">
        <f t="shared" si="16"/>
        <v/>
      </c>
    </row>
    <row r="951" spans="1:1" x14ac:dyDescent="0.25">
      <c r="A951" s="91" t="str">
        <f t="shared" si="16"/>
        <v/>
      </c>
    </row>
    <row r="952" spans="1:1" x14ac:dyDescent="0.25">
      <c r="A952" s="91" t="str">
        <f t="shared" si="16"/>
        <v/>
      </c>
    </row>
    <row r="953" spans="1:1" x14ac:dyDescent="0.25">
      <c r="A953" s="91" t="str">
        <f t="shared" si="16"/>
        <v/>
      </c>
    </row>
    <row r="954" spans="1:1" x14ac:dyDescent="0.25">
      <c r="A954" s="91" t="str">
        <f t="shared" si="16"/>
        <v/>
      </c>
    </row>
    <row r="955" spans="1:1" x14ac:dyDescent="0.25">
      <c r="A955" s="91" t="str">
        <f t="shared" si="16"/>
        <v/>
      </c>
    </row>
    <row r="956" spans="1:1" x14ac:dyDescent="0.25">
      <c r="A956" s="91" t="str">
        <f t="shared" si="16"/>
        <v/>
      </c>
    </row>
    <row r="957" spans="1:1" x14ac:dyDescent="0.25">
      <c r="A957" s="91" t="str">
        <f t="shared" si="16"/>
        <v/>
      </c>
    </row>
    <row r="958" spans="1:1" x14ac:dyDescent="0.25">
      <c r="A958" s="91" t="str">
        <f t="shared" si="16"/>
        <v/>
      </c>
    </row>
    <row r="959" spans="1:1" x14ac:dyDescent="0.25">
      <c r="A959" s="91" t="str">
        <f t="shared" si="16"/>
        <v/>
      </c>
    </row>
    <row r="960" spans="1:1" x14ac:dyDescent="0.25">
      <c r="A960" s="91" t="str">
        <f t="shared" si="16"/>
        <v/>
      </c>
    </row>
    <row r="961" spans="1:1" x14ac:dyDescent="0.25">
      <c r="A961" s="91" t="str">
        <f t="shared" si="16"/>
        <v/>
      </c>
    </row>
    <row r="962" spans="1:1" x14ac:dyDescent="0.25">
      <c r="A962" s="91" t="str">
        <f t="shared" si="16"/>
        <v/>
      </c>
    </row>
    <row r="963" spans="1:1" x14ac:dyDescent="0.25">
      <c r="A963" s="91" t="str">
        <f t="shared" si="16"/>
        <v/>
      </c>
    </row>
    <row r="964" spans="1:1" x14ac:dyDescent="0.25">
      <c r="A964" s="91" t="str">
        <f t="shared" si="16"/>
        <v/>
      </c>
    </row>
    <row r="965" spans="1:1" x14ac:dyDescent="0.25">
      <c r="A965" s="91" t="str">
        <f t="shared" si="16"/>
        <v/>
      </c>
    </row>
    <row r="966" spans="1:1" x14ac:dyDescent="0.25">
      <c r="A966" s="91" t="str">
        <f t="shared" si="16"/>
        <v/>
      </c>
    </row>
    <row r="967" spans="1:1" x14ac:dyDescent="0.25">
      <c r="A967" s="91" t="str">
        <f t="shared" si="16"/>
        <v/>
      </c>
    </row>
    <row r="968" spans="1:1" x14ac:dyDescent="0.25">
      <c r="A968" s="91" t="str">
        <f t="shared" si="16"/>
        <v/>
      </c>
    </row>
    <row r="969" spans="1:1" x14ac:dyDescent="0.25">
      <c r="A969" s="91" t="str">
        <f t="shared" si="16"/>
        <v/>
      </c>
    </row>
    <row r="970" spans="1:1" x14ac:dyDescent="0.25">
      <c r="A970" s="91" t="str">
        <f t="shared" si="16"/>
        <v/>
      </c>
    </row>
    <row r="971" spans="1:1" x14ac:dyDescent="0.25">
      <c r="A971" s="91" t="str">
        <f t="shared" si="16"/>
        <v/>
      </c>
    </row>
    <row r="972" spans="1:1" x14ac:dyDescent="0.25">
      <c r="A972" s="91" t="str">
        <f t="shared" si="16"/>
        <v/>
      </c>
    </row>
    <row r="973" spans="1:1" x14ac:dyDescent="0.25">
      <c r="A973" s="91" t="str">
        <f t="shared" si="16"/>
        <v/>
      </c>
    </row>
    <row r="974" spans="1:1" x14ac:dyDescent="0.25">
      <c r="A974" s="91" t="str">
        <f t="shared" si="16"/>
        <v/>
      </c>
    </row>
    <row r="975" spans="1:1" x14ac:dyDescent="0.25">
      <c r="A975" s="91" t="str">
        <f t="shared" si="16"/>
        <v/>
      </c>
    </row>
    <row r="976" spans="1:1" x14ac:dyDescent="0.25">
      <c r="A976" s="91" t="str">
        <f t="shared" si="16"/>
        <v/>
      </c>
    </row>
    <row r="977" spans="1:1" x14ac:dyDescent="0.25">
      <c r="A977" s="91" t="str">
        <f t="shared" si="16"/>
        <v/>
      </c>
    </row>
    <row r="978" spans="1:1" x14ac:dyDescent="0.25">
      <c r="A978" s="91" t="str">
        <f t="shared" si="16"/>
        <v/>
      </c>
    </row>
    <row r="979" spans="1:1" x14ac:dyDescent="0.25">
      <c r="A979" s="91" t="str">
        <f t="shared" si="16"/>
        <v/>
      </c>
    </row>
    <row r="980" spans="1:1" x14ac:dyDescent="0.25">
      <c r="A980" s="91" t="str">
        <f t="shared" si="16"/>
        <v/>
      </c>
    </row>
    <row r="981" spans="1:1" x14ac:dyDescent="0.25">
      <c r="A981" s="91" t="str">
        <f t="shared" si="16"/>
        <v/>
      </c>
    </row>
    <row r="982" spans="1:1" x14ac:dyDescent="0.25">
      <c r="A982" s="91" t="str">
        <f t="shared" si="16"/>
        <v/>
      </c>
    </row>
    <row r="983" spans="1:1" x14ac:dyDescent="0.25">
      <c r="A983" s="91" t="str">
        <f t="shared" si="16"/>
        <v/>
      </c>
    </row>
    <row r="984" spans="1:1" x14ac:dyDescent="0.25">
      <c r="A984" s="91" t="str">
        <f t="shared" si="16"/>
        <v/>
      </c>
    </row>
    <row r="985" spans="1:1" x14ac:dyDescent="0.25">
      <c r="A985" s="91" t="str">
        <f t="shared" si="16"/>
        <v/>
      </c>
    </row>
    <row r="986" spans="1:1" x14ac:dyDescent="0.25">
      <c r="A986" s="91" t="str">
        <f t="shared" si="16"/>
        <v/>
      </c>
    </row>
    <row r="987" spans="1:1" x14ac:dyDescent="0.25">
      <c r="A987" s="91" t="str">
        <f t="shared" si="16"/>
        <v/>
      </c>
    </row>
    <row r="988" spans="1:1" x14ac:dyDescent="0.25">
      <c r="A988" s="91" t="str">
        <f t="shared" si="16"/>
        <v/>
      </c>
    </row>
    <row r="989" spans="1:1" x14ac:dyDescent="0.25">
      <c r="A989" s="91" t="str">
        <f t="shared" si="16"/>
        <v/>
      </c>
    </row>
    <row r="990" spans="1:1" x14ac:dyDescent="0.25">
      <c r="A990" s="91" t="str">
        <f t="shared" si="16"/>
        <v/>
      </c>
    </row>
    <row r="991" spans="1:1" x14ac:dyDescent="0.25">
      <c r="A991" s="91" t="str">
        <f t="shared" si="16"/>
        <v/>
      </c>
    </row>
    <row r="992" spans="1:1" x14ac:dyDescent="0.25">
      <c r="A992" s="91" t="str">
        <f t="shared" si="16"/>
        <v/>
      </c>
    </row>
    <row r="993" spans="1:1" x14ac:dyDescent="0.25">
      <c r="A993" s="91" t="str">
        <f t="shared" si="16"/>
        <v/>
      </c>
    </row>
    <row r="994" spans="1:1" x14ac:dyDescent="0.25">
      <c r="A994" s="91" t="str">
        <f t="shared" ref="A994:A1057" si="17">IF(AND(B993&lt;&gt;"",B994=""),"New entry---&gt;","")</f>
        <v/>
      </c>
    </row>
    <row r="995" spans="1:1" x14ac:dyDescent="0.25">
      <c r="A995" s="91" t="str">
        <f t="shared" si="17"/>
        <v/>
      </c>
    </row>
    <row r="996" spans="1:1" x14ac:dyDescent="0.25">
      <c r="A996" s="91" t="str">
        <f t="shared" si="17"/>
        <v/>
      </c>
    </row>
    <row r="997" spans="1:1" x14ac:dyDescent="0.25">
      <c r="A997" s="91" t="str">
        <f t="shared" si="17"/>
        <v/>
      </c>
    </row>
    <row r="998" spans="1:1" x14ac:dyDescent="0.25">
      <c r="A998" s="91" t="str">
        <f t="shared" si="17"/>
        <v/>
      </c>
    </row>
    <row r="999" spans="1:1" x14ac:dyDescent="0.25">
      <c r="A999" s="91" t="str">
        <f t="shared" si="17"/>
        <v/>
      </c>
    </row>
    <row r="1000" spans="1:1" x14ac:dyDescent="0.25">
      <c r="A1000" s="91" t="str">
        <f t="shared" si="17"/>
        <v/>
      </c>
    </row>
    <row r="1001" spans="1:1" x14ac:dyDescent="0.25">
      <c r="A1001" s="91" t="str">
        <f t="shared" si="17"/>
        <v/>
      </c>
    </row>
    <row r="1002" spans="1:1" x14ac:dyDescent="0.25">
      <c r="A1002" s="91" t="str">
        <f t="shared" si="17"/>
        <v/>
      </c>
    </row>
    <row r="1003" spans="1:1" x14ac:dyDescent="0.25">
      <c r="A1003" s="91" t="str">
        <f t="shared" si="17"/>
        <v/>
      </c>
    </row>
    <row r="1004" spans="1:1" x14ac:dyDescent="0.25">
      <c r="A1004" s="91" t="str">
        <f t="shared" si="17"/>
        <v/>
      </c>
    </row>
    <row r="1005" spans="1:1" x14ac:dyDescent="0.25">
      <c r="A1005" s="91" t="str">
        <f t="shared" si="17"/>
        <v/>
      </c>
    </row>
    <row r="1006" spans="1:1" x14ac:dyDescent="0.25">
      <c r="A1006" s="91" t="str">
        <f t="shared" si="17"/>
        <v/>
      </c>
    </row>
    <row r="1007" spans="1:1" x14ac:dyDescent="0.25">
      <c r="A1007" s="91" t="str">
        <f t="shared" si="17"/>
        <v/>
      </c>
    </row>
    <row r="1008" spans="1:1" x14ac:dyDescent="0.25">
      <c r="A1008" s="91" t="str">
        <f t="shared" si="17"/>
        <v/>
      </c>
    </row>
    <row r="1009" spans="1:1" x14ac:dyDescent="0.25">
      <c r="A1009" s="91" t="str">
        <f t="shared" si="17"/>
        <v/>
      </c>
    </row>
    <row r="1010" spans="1:1" x14ac:dyDescent="0.25">
      <c r="A1010" s="91" t="str">
        <f t="shared" si="17"/>
        <v/>
      </c>
    </row>
    <row r="1011" spans="1:1" x14ac:dyDescent="0.25">
      <c r="A1011" s="91" t="str">
        <f t="shared" si="17"/>
        <v/>
      </c>
    </row>
    <row r="1012" spans="1:1" x14ac:dyDescent="0.25">
      <c r="A1012" s="91" t="str">
        <f t="shared" si="17"/>
        <v/>
      </c>
    </row>
    <row r="1013" spans="1:1" x14ac:dyDescent="0.25">
      <c r="A1013" s="91" t="str">
        <f t="shared" si="17"/>
        <v/>
      </c>
    </row>
    <row r="1014" spans="1:1" x14ac:dyDescent="0.25">
      <c r="A1014" s="91" t="str">
        <f t="shared" si="17"/>
        <v/>
      </c>
    </row>
    <row r="1015" spans="1:1" x14ac:dyDescent="0.25">
      <c r="A1015" s="91" t="str">
        <f t="shared" si="17"/>
        <v/>
      </c>
    </row>
    <row r="1016" spans="1:1" x14ac:dyDescent="0.25">
      <c r="A1016" s="91" t="str">
        <f t="shared" si="17"/>
        <v/>
      </c>
    </row>
    <row r="1017" spans="1:1" x14ac:dyDescent="0.25">
      <c r="A1017" s="91" t="str">
        <f t="shared" si="17"/>
        <v/>
      </c>
    </row>
    <row r="1018" spans="1:1" x14ac:dyDescent="0.25">
      <c r="A1018" s="91" t="str">
        <f t="shared" si="17"/>
        <v/>
      </c>
    </row>
    <row r="1019" spans="1:1" x14ac:dyDescent="0.25">
      <c r="A1019" s="91" t="str">
        <f t="shared" si="17"/>
        <v/>
      </c>
    </row>
    <row r="1020" spans="1:1" x14ac:dyDescent="0.25">
      <c r="A1020" s="91" t="str">
        <f t="shared" si="17"/>
        <v/>
      </c>
    </row>
    <row r="1021" spans="1:1" x14ac:dyDescent="0.25">
      <c r="A1021" s="91" t="str">
        <f t="shared" si="17"/>
        <v/>
      </c>
    </row>
    <row r="1022" spans="1:1" x14ac:dyDescent="0.25">
      <c r="A1022" s="91" t="str">
        <f t="shared" si="17"/>
        <v/>
      </c>
    </row>
    <row r="1023" spans="1:1" x14ac:dyDescent="0.25">
      <c r="A1023" s="91" t="str">
        <f t="shared" si="17"/>
        <v/>
      </c>
    </row>
    <row r="1024" spans="1:1" x14ac:dyDescent="0.25">
      <c r="A1024" s="91" t="str">
        <f t="shared" si="17"/>
        <v/>
      </c>
    </row>
    <row r="1025" spans="1:1" x14ac:dyDescent="0.25">
      <c r="A1025" s="91" t="str">
        <f t="shared" si="17"/>
        <v/>
      </c>
    </row>
    <row r="1026" spans="1:1" x14ac:dyDescent="0.25">
      <c r="A1026" s="91" t="str">
        <f t="shared" si="17"/>
        <v/>
      </c>
    </row>
    <row r="1027" spans="1:1" x14ac:dyDescent="0.25">
      <c r="A1027" s="91" t="str">
        <f t="shared" si="17"/>
        <v/>
      </c>
    </row>
    <row r="1028" spans="1:1" x14ac:dyDescent="0.25">
      <c r="A1028" s="91" t="str">
        <f t="shared" si="17"/>
        <v/>
      </c>
    </row>
    <row r="1029" spans="1:1" x14ac:dyDescent="0.25">
      <c r="A1029" s="91" t="str">
        <f t="shared" si="17"/>
        <v/>
      </c>
    </row>
    <row r="1030" spans="1:1" x14ac:dyDescent="0.25">
      <c r="A1030" s="91" t="str">
        <f t="shared" si="17"/>
        <v/>
      </c>
    </row>
    <row r="1031" spans="1:1" x14ac:dyDescent="0.25">
      <c r="A1031" s="91" t="str">
        <f t="shared" si="17"/>
        <v/>
      </c>
    </row>
    <row r="1032" spans="1:1" x14ac:dyDescent="0.25">
      <c r="A1032" s="91" t="str">
        <f t="shared" si="17"/>
        <v/>
      </c>
    </row>
    <row r="1033" spans="1:1" x14ac:dyDescent="0.25">
      <c r="A1033" s="91" t="str">
        <f t="shared" si="17"/>
        <v/>
      </c>
    </row>
    <row r="1034" spans="1:1" x14ac:dyDescent="0.25">
      <c r="A1034" s="91" t="str">
        <f t="shared" si="17"/>
        <v/>
      </c>
    </row>
    <row r="1035" spans="1:1" x14ac:dyDescent="0.25">
      <c r="A1035" s="91" t="str">
        <f t="shared" si="17"/>
        <v/>
      </c>
    </row>
    <row r="1036" spans="1:1" x14ac:dyDescent="0.25">
      <c r="A1036" s="91" t="str">
        <f t="shared" si="17"/>
        <v/>
      </c>
    </row>
    <row r="1037" spans="1:1" x14ac:dyDescent="0.25">
      <c r="A1037" s="91" t="str">
        <f t="shared" si="17"/>
        <v/>
      </c>
    </row>
    <row r="1038" spans="1:1" x14ac:dyDescent="0.25">
      <c r="A1038" s="91" t="str">
        <f t="shared" si="17"/>
        <v/>
      </c>
    </row>
    <row r="1039" spans="1:1" x14ac:dyDescent="0.25">
      <c r="A1039" s="91" t="str">
        <f t="shared" si="17"/>
        <v/>
      </c>
    </row>
    <row r="1040" spans="1:1" x14ac:dyDescent="0.25">
      <c r="A1040" s="91" t="str">
        <f t="shared" si="17"/>
        <v/>
      </c>
    </row>
    <row r="1041" spans="1:1" x14ac:dyDescent="0.25">
      <c r="A1041" s="91" t="str">
        <f t="shared" si="17"/>
        <v/>
      </c>
    </row>
    <row r="1042" spans="1:1" x14ac:dyDescent="0.25">
      <c r="A1042" s="91" t="str">
        <f t="shared" si="17"/>
        <v/>
      </c>
    </row>
    <row r="1043" spans="1:1" x14ac:dyDescent="0.25">
      <c r="A1043" s="91" t="str">
        <f t="shared" si="17"/>
        <v/>
      </c>
    </row>
    <row r="1044" spans="1:1" x14ac:dyDescent="0.25">
      <c r="A1044" s="91" t="str">
        <f t="shared" si="17"/>
        <v/>
      </c>
    </row>
    <row r="1045" spans="1:1" x14ac:dyDescent="0.25">
      <c r="A1045" s="91" t="str">
        <f t="shared" si="17"/>
        <v/>
      </c>
    </row>
    <row r="1046" spans="1:1" x14ac:dyDescent="0.25">
      <c r="A1046" s="91" t="str">
        <f t="shared" si="17"/>
        <v/>
      </c>
    </row>
    <row r="1047" spans="1:1" x14ac:dyDescent="0.25">
      <c r="A1047" s="91" t="str">
        <f t="shared" si="17"/>
        <v/>
      </c>
    </row>
    <row r="1048" spans="1:1" x14ac:dyDescent="0.25">
      <c r="A1048" s="91" t="str">
        <f t="shared" si="17"/>
        <v/>
      </c>
    </row>
    <row r="1049" spans="1:1" x14ac:dyDescent="0.25">
      <c r="A1049" s="91" t="str">
        <f t="shared" si="17"/>
        <v/>
      </c>
    </row>
    <row r="1050" spans="1:1" x14ac:dyDescent="0.25">
      <c r="A1050" s="91" t="str">
        <f t="shared" si="17"/>
        <v/>
      </c>
    </row>
    <row r="1051" spans="1:1" x14ac:dyDescent="0.25">
      <c r="A1051" s="91" t="str">
        <f t="shared" si="17"/>
        <v/>
      </c>
    </row>
    <row r="1052" spans="1:1" x14ac:dyDescent="0.25">
      <c r="A1052" s="91" t="str">
        <f t="shared" si="17"/>
        <v/>
      </c>
    </row>
    <row r="1053" spans="1:1" x14ac:dyDescent="0.25">
      <c r="A1053" s="91" t="str">
        <f t="shared" si="17"/>
        <v/>
      </c>
    </row>
    <row r="1054" spans="1:1" x14ac:dyDescent="0.25">
      <c r="A1054" s="91" t="str">
        <f t="shared" si="17"/>
        <v/>
      </c>
    </row>
    <row r="1055" spans="1:1" x14ac:dyDescent="0.25">
      <c r="A1055" s="91" t="str">
        <f t="shared" si="17"/>
        <v/>
      </c>
    </row>
    <row r="1056" spans="1:1" x14ac:dyDescent="0.25">
      <c r="A1056" s="91" t="str">
        <f t="shared" si="17"/>
        <v/>
      </c>
    </row>
    <row r="1057" spans="1:1" x14ac:dyDescent="0.25">
      <c r="A1057" s="91" t="str">
        <f t="shared" si="17"/>
        <v/>
      </c>
    </row>
    <row r="1058" spans="1:1" x14ac:dyDescent="0.25">
      <c r="A1058" s="91" t="str">
        <f t="shared" ref="A1058:A1121" si="18">IF(AND(B1057&lt;&gt;"",B1058=""),"New entry---&gt;","")</f>
        <v/>
      </c>
    </row>
    <row r="1059" spans="1:1" x14ac:dyDescent="0.25">
      <c r="A1059" s="91" t="str">
        <f t="shared" si="18"/>
        <v/>
      </c>
    </row>
    <row r="1060" spans="1:1" x14ac:dyDescent="0.25">
      <c r="A1060" s="91" t="str">
        <f t="shared" si="18"/>
        <v/>
      </c>
    </row>
    <row r="1061" spans="1:1" x14ac:dyDescent="0.25">
      <c r="A1061" s="91" t="str">
        <f t="shared" si="18"/>
        <v/>
      </c>
    </row>
    <row r="1062" spans="1:1" x14ac:dyDescent="0.25">
      <c r="A1062" s="91" t="str">
        <f t="shared" si="18"/>
        <v/>
      </c>
    </row>
    <row r="1063" spans="1:1" x14ac:dyDescent="0.25">
      <c r="A1063" s="91" t="str">
        <f t="shared" si="18"/>
        <v/>
      </c>
    </row>
    <row r="1064" spans="1:1" x14ac:dyDescent="0.25">
      <c r="A1064" s="91" t="str">
        <f t="shared" si="18"/>
        <v/>
      </c>
    </row>
    <row r="1065" spans="1:1" x14ac:dyDescent="0.25">
      <c r="A1065" s="91" t="str">
        <f t="shared" si="18"/>
        <v/>
      </c>
    </row>
    <row r="1066" spans="1:1" x14ac:dyDescent="0.25">
      <c r="A1066" s="91" t="str">
        <f t="shared" si="18"/>
        <v/>
      </c>
    </row>
    <row r="1067" spans="1:1" x14ac:dyDescent="0.25">
      <c r="A1067" s="91" t="str">
        <f t="shared" si="18"/>
        <v/>
      </c>
    </row>
    <row r="1068" spans="1:1" x14ac:dyDescent="0.25">
      <c r="A1068" s="91" t="str">
        <f t="shared" si="18"/>
        <v/>
      </c>
    </row>
    <row r="1069" spans="1:1" x14ac:dyDescent="0.25">
      <c r="A1069" s="91" t="str">
        <f t="shared" si="18"/>
        <v/>
      </c>
    </row>
    <row r="1070" spans="1:1" x14ac:dyDescent="0.25">
      <c r="A1070" s="91" t="str">
        <f t="shared" si="18"/>
        <v/>
      </c>
    </row>
    <row r="1071" spans="1:1" x14ac:dyDescent="0.25">
      <c r="A1071" s="91" t="str">
        <f t="shared" si="18"/>
        <v/>
      </c>
    </row>
    <row r="1072" spans="1:1" x14ac:dyDescent="0.25">
      <c r="A1072" s="91" t="str">
        <f t="shared" si="18"/>
        <v/>
      </c>
    </row>
    <row r="1073" spans="1:1" x14ac:dyDescent="0.25">
      <c r="A1073" s="91" t="str">
        <f t="shared" si="18"/>
        <v/>
      </c>
    </row>
    <row r="1074" spans="1:1" x14ac:dyDescent="0.25">
      <c r="A1074" s="91" t="str">
        <f t="shared" si="18"/>
        <v/>
      </c>
    </row>
    <row r="1075" spans="1:1" x14ac:dyDescent="0.25">
      <c r="A1075" s="91" t="str">
        <f t="shared" si="18"/>
        <v/>
      </c>
    </row>
    <row r="1076" spans="1:1" x14ac:dyDescent="0.25">
      <c r="A1076" s="91" t="str">
        <f t="shared" si="18"/>
        <v/>
      </c>
    </row>
    <row r="1077" spans="1:1" x14ac:dyDescent="0.25">
      <c r="A1077" s="91" t="str">
        <f t="shared" si="18"/>
        <v/>
      </c>
    </row>
    <row r="1078" spans="1:1" x14ac:dyDescent="0.25">
      <c r="A1078" s="91" t="str">
        <f t="shared" si="18"/>
        <v/>
      </c>
    </row>
    <row r="1079" spans="1:1" x14ac:dyDescent="0.25">
      <c r="A1079" s="91" t="str">
        <f t="shared" si="18"/>
        <v/>
      </c>
    </row>
    <row r="1080" spans="1:1" x14ac:dyDescent="0.25">
      <c r="A1080" s="91" t="str">
        <f t="shared" si="18"/>
        <v/>
      </c>
    </row>
    <row r="1081" spans="1:1" x14ac:dyDescent="0.25">
      <c r="A1081" s="91" t="str">
        <f t="shared" si="18"/>
        <v/>
      </c>
    </row>
    <row r="1082" spans="1:1" x14ac:dyDescent="0.25">
      <c r="A1082" s="91" t="str">
        <f t="shared" si="18"/>
        <v/>
      </c>
    </row>
    <row r="1083" spans="1:1" x14ac:dyDescent="0.25">
      <c r="A1083" s="91" t="str">
        <f t="shared" si="18"/>
        <v/>
      </c>
    </row>
    <row r="1084" spans="1:1" x14ac:dyDescent="0.25">
      <c r="A1084" s="91" t="str">
        <f t="shared" si="18"/>
        <v/>
      </c>
    </row>
    <row r="1085" spans="1:1" x14ac:dyDescent="0.25">
      <c r="A1085" s="91" t="str">
        <f t="shared" si="18"/>
        <v/>
      </c>
    </row>
    <row r="1086" spans="1:1" x14ac:dyDescent="0.25">
      <c r="A1086" s="91" t="str">
        <f t="shared" si="18"/>
        <v/>
      </c>
    </row>
    <row r="1087" spans="1:1" x14ac:dyDescent="0.25">
      <c r="A1087" s="91" t="str">
        <f t="shared" si="18"/>
        <v/>
      </c>
    </row>
    <row r="1088" spans="1:1" x14ac:dyDescent="0.25">
      <c r="A1088" s="91" t="str">
        <f t="shared" si="18"/>
        <v/>
      </c>
    </row>
    <row r="1089" spans="1:1" x14ac:dyDescent="0.25">
      <c r="A1089" s="91" t="str">
        <f t="shared" si="18"/>
        <v/>
      </c>
    </row>
    <row r="1090" spans="1:1" x14ac:dyDescent="0.25">
      <c r="A1090" s="91" t="str">
        <f t="shared" si="18"/>
        <v/>
      </c>
    </row>
    <row r="1091" spans="1:1" x14ac:dyDescent="0.25">
      <c r="A1091" s="91" t="str">
        <f t="shared" si="18"/>
        <v/>
      </c>
    </row>
    <row r="1092" spans="1:1" x14ac:dyDescent="0.25">
      <c r="A1092" s="91" t="str">
        <f t="shared" si="18"/>
        <v/>
      </c>
    </row>
    <row r="1093" spans="1:1" x14ac:dyDescent="0.25">
      <c r="A1093" s="91" t="str">
        <f t="shared" si="18"/>
        <v/>
      </c>
    </row>
    <row r="1094" spans="1:1" x14ac:dyDescent="0.25">
      <c r="A1094" s="91" t="str">
        <f t="shared" si="18"/>
        <v/>
      </c>
    </row>
    <row r="1095" spans="1:1" x14ac:dyDescent="0.25">
      <c r="A1095" s="91" t="str">
        <f t="shared" si="18"/>
        <v/>
      </c>
    </row>
    <row r="1096" spans="1:1" x14ac:dyDescent="0.25">
      <c r="A1096" s="91" t="str">
        <f t="shared" si="18"/>
        <v/>
      </c>
    </row>
    <row r="1097" spans="1:1" x14ac:dyDescent="0.25">
      <c r="A1097" s="91" t="str">
        <f t="shared" si="18"/>
        <v/>
      </c>
    </row>
    <row r="1098" spans="1:1" x14ac:dyDescent="0.25">
      <c r="A1098" s="91" t="str">
        <f t="shared" si="18"/>
        <v/>
      </c>
    </row>
    <row r="1099" spans="1:1" x14ac:dyDescent="0.25">
      <c r="A1099" s="91" t="str">
        <f t="shared" si="18"/>
        <v/>
      </c>
    </row>
    <row r="1100" spans="1:1" x14ac:dyDescent="0.25">
      <c r="A1100" s="91" t="str">
        <f t="shared" si="18"/>
        <v/>
      </c>
    </row>
    <row r="1101" spans="1:1" x14ac:dyDescent="0.25">
      <c r="A1101" s="91" t="str">
        <f t="shared" si="18"/>
        <v/>
      </c>
    </row>
    <row r="1102" spans="1:1" x14ac:dyDescent="0.25">
      <c r="A1102" s="91" t="str">
        <f t="shared" si="18"/>
        <v/>
      </c>
    </row>
    <row r="1103" spans="1:1" x14ac:dyDescent="0.25">
      <c r="A1103" s="91" t="str">
        <f t="shared" si="18"/>
        <v/>
      </c>
    </row>
    <row r="1104" spans="1:1" x14ac:dyDescent="0.25">
      <c r="A1104" s="91" t="str">
        <f t="shared" si="18"/>
        <v/>
      </c>
    </row>
    <row r="1105" spans="1:1" x14ac:dyDescent="0.25">
      <c r="A1105" s="91" t="str">
        <f t="shared" si="18"/>
        <v/>
      </c>
    </row>
    <row r="1106" spans="1:1" x14ac:dyDescent="0.25">
      <c r="A1106" s="91" t="str">
        <f t="shared" si="18"/>
        <v/>
      </c>
    </row>
    <row r="1107" spans="1:1" x14ac:dyDescent="0.25">
      <c r="A1107" s="91" t="str">
        <f t="shared" si="18"/>
        <v/>
      </c>
    </row>
    <row r="1108" spans="1:1" x14ac:dyDescent="0.25">
      <c r="A1108" s="91" t="str">
        <f t="shared" si="18"/>
        <v/>
      </c>
    </row>
    <row r="1109" spans="1:1" x14ac:dyDescent="0.25">
      <c r="A1109" s="91" t="str">
        <f t="shared" si="18"/>
        <v/>
      </c>
    </row>
    <row r="1110" spans="1:1" x14ac:dyDescent="0.25">
      <c r="A1110" s="91" t="str">
        <f t="shared" si="18"/>
        <v/>
      </c>
    </row>
    <row r="1111" spans="1:1" x14ac:dyDescent="0.25">
      <c r="A1111" s="91" t="str">
        <f t="shared" si="18"/>
        <v/>
      </c>
    </row>
    <row r="1112" spans="1:1" x14ac:dyDescent="0.25">
      <c r="A1112" s="91" t="str">
        <f t="shared" si="18"/>
        <v/>
      </c>
    </row>
    <row r="1113" spans="1:1" x14ac:dyDescent="0.25">
      <c r="A1113" s="91" t="str">
        <f t="shared" si="18"/>
        <v/>
      </c>
    </row>
    <row r="1114" spans="1:1" x14ac:dyDescent="0.25">
      <c r="A1114" s="91" t="str">
        <f t="shared" si="18"/>
        <v/>
      </c>
    </row>
    <row r="1115" spans="1:1" x14ac:dyDescent="0.25">
      <c r="A1115" s="91" t="str">
        <f t="shared" si="18"/>
        <v/>
      </c>
    </row>
    <row r="1116" spans="1:1" x14ac:dyDescent="0.25">
      <c r="A1116" s="91" t="str">
        <f t="shared" si="18"/>
        <v/>
      </c>
    </row>
    <row r="1117" spans="1:1" x14ac:dyDescent="0.25">
      <c r="A1117" s="91" t="str">
        <f t="shared" si="18"/>
        <v/>
      </c>
    </row>
    <row r="1118" spans="1:1" x14ac:dyDescent="0.25">
      <c r="A1118" s="91" t="str">
        <f t="shared" si="18"/>
        <v/>
      </c>
    </row>
    <row r="1119" spans="1:1" x14ac:dyDescent="0.25">
      <c r="A1119" s="91" t="str">
        <f t="shared" si="18"/>
        <v/>
      </c>
    </row>
    <row r="1120" spans="1:1" x14ac:dyDescent="0.25">
      <c r="A1120" s="91" t="str">
        <f t="shared" si="18"/>
        <v/>
      </c>
    </row>
    <row r="1121" spans="1:1" x14ac:dyDescent="0.25">
      <c r="A1121" s="91" t="str">
        <f t="shared" si="18"/>
        <v/>
      </c>
    </row>
    <row r="1122" spans="1:1" x14ac:dyDescent="0.25">
      <c r="A1122" s="91" t="str">
        <f t="shared" ref="A1122:A1185" si="19">IF(AND(B1121&lt;&gt;"",B1122=""),"New entry---&gt;","")</f>
        <v/>
      </c>
    </row>
    <row r="1123" spans="1:1" x14ac:dyDescent="0.25">
      <c r="A1123" s="91" t="str">
        <f t="shared" si="19"/>
        <v/>
      </c>
    </row>
    <row r="1124" spans="1:1" x14ac:dyDescent="0.25">
      <c r="A1124" s="91" t="str">
        <f t="shared" si="19"/>
        <v/>
      </c>
    </row>
    <row r="1125" spans="1:1" x14ac:dyDescent="0.25">
      <c r="A1125" s="91" t="str">
        <f t="shared" si="19"/>
        <v/>
      </c>
    </row>
    <row r="1126" spans="1:1" x14ac:dyDescent="0.25">
      <c r="A1126" s="91" t="str">
        <f t="shared" si="19"/>
        <v/>
      </c>
    </row>
    <row r="1127" spans="1:1" x14ac:dyDescent="0.25">
      <c r="A1127" s="91" t="str">
        <f t="shared" si="19"/>
        <v/>
      </c>
    </row>
    <row r="1128" spans="1:1" x14ac:dyDescent="0.25">
      <c r="A1128" s="91" t="str">
        <f t="shared" si="19"/>
        <v/>
      </c>
    </row>
    <row r="1129" spans="1:1" x14ac:dyDescent="0.25">
      <c r="A1129" s="91" t="str">
        <f t="shared" si="19"/>
        <v/>
      </c>
    </row>
    <row r="1130" spans="1:1" x14ac:dyDescent="0.25">
      <c r="A1130" s="91" t="str">
        <f t="shared" si="19"/>
        <v/>
      </c>
    </row>
    <row r="1131" spans="1:1" x14ac:dyDescent="0.25">
      <c r="A1131" s="91" t="str">
        <f t="shared" si="19"/>
        <v/>
      </c>
    </row>
    <row r="1132" spans="1:1" x14ac:dyDescent="0.25">
      <c r="A1132" s="91" t="str">
        <f t="shared" si="19"/>
        <v/>
      </c>
    </row>
    <row r="1133" spans="1:1" x14ac:dyDescent="0.25">
      <c r="A1133" s="91" t="str">
        <f t="shared" si="19"/>
        <v/>
      </c>
    </row>
    <row r="1134" spans="1:1" x14ac:dyDescent="0.25">
      <c r="A1134" s="91" t="str">
        <f t="shared" si="19"/>
        <v/>
      </c>
    </row>
    <row r="1135" spans="1:1" x14ac:dyDescent="0.25">
      <c r="A1135" s="91" t="str">
        <f t="shared" si="19"/>
        <v/>
      </c>
    </row>
    <row r="1136" spans="1:1" x14ac:dyDescent="0.25">
      <c r="A1136" s="91" t="str">
        <f t="shared" si="19"/>
        <v/>
      </c>
    </row>
    <row r="1137" spans="1:1" x14ac:dyDescent="0.25">
      <c r="A1137" s="91" t="str">
        <f t="shared" si="19"/>
        <v/>
      </c>
    </row>
    <row r="1138" spans="1:1" x14ac:dyDescent="0.25">
      <c r="A1138" s="91" t="str">
        <f t="shared" si="19"/>
        <v/>
      </c>
    </row>
    <row r="1139" spans="1:1" x14ac:dyDescent="0.25">
      <c r="A1139" s="91" t="str">
        <f t="shared" si="19"/>
        <v/>
      </c>
    </row>
    <row r="1140" spans="1:1" x14ac:dyDescent="0.25">
      <c r="A1140" s="91" t="str">
        <f t="shared" si="19"/>
        <v/>
      </c>
    </row>
    <row r="1141" spans="1:1" x14ac:dyDescent="0.25">
      <c r="A1141" s="91" t="str">
        <f t="shared" si="19"/>
        <v/>
      </c>
    </row>
    <row r="1142" spans="1:1" x14ac:dyDescent="0.25">
      <c r="A1142" s="91" t="str">
        <f t="shared" si="19"/>
        <v/>
      </c>
    </row>
    <row r="1143" spans="1:1" x14ac:dyDescent="0.25">
      <c r="A1143" s="91" t="str">
        <f t="shared" si="19"/>
        <v/>
      </c>
    </row>
    <row r="1144" spans="1:1" x14ac:dyDescent="0.25">
      <c r="A1144" s="91" t="str">
        <f t="shared" si="19"/>
        <v/>
      </c>
    </row>
    <row r="1145" spans="1:1" x14ac:dyDescent="0.25">
      <c r="A1145" s="91" t="str">
        <f t="shared" si="19"/>
        <v/>
      </c>
    </row>
    <row r="1146" spans="1:1" x14ac:dyDescent="0.25">
      <c r="A1146" s="91" t="str">
        <f t="shared" si="19"/>
        <v/>
      </c>
    </row>
    <row r="1147" spans="1:1" x14ac:dyDescent="0.25">
      <c r="A1147" s="91" t="str">
        <f t="shared" si="19"/>
        <v/>
      </c>
    </row>
    <row r="1148" spans="1:1" x14ac:dyDescent="0.25">
      <c r="A1148" s="91" t="str">
        <f t="shared" si="19"/>
        <v/>
      </c>
    </row>
    <row r="1149" spans="1:1" x14ac:dyDescent="0.25">
      <c r="A1149" s="91" t="str">
        <f t="shared" si="19"/>
        <v/>
      </c>
    </row>
    <row r="1150" spans="1:1" x14ac:dyDescent="0.25">
      <c r="A1150" s="91" t="str">
        <f t="shared" si="19"/>
        <v/>
      </c>
    </row>
    <row r="1151" spans="1:1" x14ac:dyDescent="0.25">
      <c r="A1151" s="91" t="str">
        <f t="shared" si="19"/>
        <v/>
      </c>
    </row>
    <row r="1152" spans="1:1" x14ac:dyDescent="0.25">
      <c r="A1152" s="91" t="str">
        <f t="shared" si="19"/>
        <v/>
      </c>
    </row>
    <row r="1153" spans="1:1" x14ac:dyDescent="0.25">
      <c r="A1153" s="91" t="str">
        <f t="shared" si="19"/>
        <v/>
      </c>
    </row>
    <row r="1154" spans="1:1" x14ac:dyDescent="0.25">
      <c r="A1154" s="91" t="str">
        <f t="shared" si="19"/>
        <v/>
      </c>
    </row>
    <row r="1155" spans="1:1" x14ac:dyDescent="0.25">
      <c r="A1155" s="91" t="str">
        <f t="shared" si="19"/>
        <v/>
      </c>
    </row>
    <row r="1156" spans="1:1" x14ac:dyDescent="0.25">
      <c r="A1156" s="91" t="str">
        <f t="shared" si="19"/>
        <v/>
      </c>
    </row>
    <row r="1157" spans="1:1" x14ac:dyDescent="0.25">
      <c r="A1157" s="91" t="str">
        <f t="shared" si="19"/>
        <v/>
      </c>
    </row>
    <row r="1158" spans="1:1" x14ac:dyDescent="0.25">
      <c r="A1158" s="91" t="str">
        <f t="shared" si="19"/>
        <v/>
      </c>
    </row>
    <row r="1159" spans="1:1" x14ac:dyDescent="0.25">
      <c r="A1159" s="91" t="str">
        <f t="shared" si="19"/>
        <v/>
      </c>
    </row>
    <row r="1160" spans="1:1" x14ac:dyDescent="0.25">
      <c r="A1160" s="91" t="str">
        <f t="shared" si="19"/>
        <v/>
      </c>
    </row>
    <row r="1161" spans="1:1" x14ac:dyDescent="0.25">
      <c r="A1161" s="91" t="str">
        <f t="shared" si="19"/>
        <v/>
      </c>
    </row>
    <row r="1162" spans="1:1" x14ac:dyDescent="0.25">
      <c r="A1162" s="91" t="str">
        <f t="shared" si="19"/>
        <v/>
      </c>
    </row>
    <row r="1163" spans="1:1" x14ac:dyDescent="0.25">
      <c r="A1163" s="91" t="str">
        <f t="shared" si="19"/>
        <v/>
      </c>
    </row>
    <row r="1164" spans="1:1" x14ac:dyDescent="0.25">
      <c r="A1164" s="91" t="str">
        <f t="shared" si="19"/>
        <v/>
      </c>
    </row>
    <row r="1165" spans="1:1" x14ac:dyDescent="0.25">
      <c r="A1165" s="91" t="str">
        <f t="shared" si="19"/>
        <v/>
      </c>
    </row>
    <row r="1166" spans="1:1" x14ac:dyDescent="0.25">
      <c r="A1166" s="91" t="str">
        <f t="shared" si="19"/>
        <v/>
      </c>
    </row>
    <row r="1167" spans="1:1" x14ac:dyDescent="0.25">
      <c r="A1167" s="91" t="str">
        <f t="shared" si="19"/>
        <v/>
      </c>
    </row>
    <row r="1168" spans="1:1" x14ac:dyDescent="0.25">
      <c r="A1168" s="91" t="str">
        <f t="shared" si="19"/>
        <v/>
      </c>
    </row>
    <row r="1169" spans="1:1" x14ac:dyDescent="0.25">
      <c r="A1169" s="91" t="str">
        <f t="shared" si="19"/>
        <v/>
      </c>
    </row>
    <row r="1170" spans="1:1" x14ac:dyDescent="0.25">
      <c r="A1170" s="91" t="str">
        <f t="shared" si="19"/>
        <v/>
      </c>
    </row>
    <row r="1171" spans="1:1" x14ac:dyDescent="0.25">
      <c r="A1171" s="91" t="str">
        <f t="shared" si="19"/>
        <v/>
      </c>
    </row>
    <row r="1172" spans="1:1" x14ac:dyDescent="0.25">
      <c r="A1172" s="91" t="str">
        <f t="shared" si="19"/>
        <v/>
      </c>
    </row>
    <row r="1173" spans="1:1" x14ac:dyDescent="0.25">
      <c r="A1173" s="91" t="str">
        <f t="shared" si="19"/>
        <v/>
      </c>
    </row>
    <row r="1174" spans="1:1" x14ac:dyDescent="0.25">
      <c r="A1174" s="91" t="str">
        <f t="shared" si="19"/>
        <v/>
      </c>
    </row>
    <row r="1175" spans="1:1" x14ac:dyDescent="0.25">
      <c r="A1175" s="91" t="str">
        <f t="shared" si="19"/>
        <v/>
      </c>
    </row>
    <row r="1176" spans="1:1" x14ac:dyDescent="0.25">
      <c r="A1176" s="91" t="str">
        <f t="shared" si="19"/>
        <v/>
      </c>
    </row>
    <row r="1177" spans="1:1" x14ac:dyDescent="0.25">
      <c r="A1177" s="91" t="str">
        <f t="shared" si="19"/>
        <v/>
      </c>
    </row>
    <row r="1178" spans="1:1" x14ac:dyDescent="0.25">
      <c r="A1178" s="91" t="str">
        <f t="shared" si="19"/>
        <v/>
      </c>
    </row>
    <row r="1179" spans="1:1" x14ac:dyDescent="0.25">
      <c r="A1179" s="91" t="str">
        <f t="shared" si="19"/>
        <v/>
      </c>
    </row>
    <row r="1180" spans="1:1" x14ac:dyDescent="0.25">
      <c r="A1180" s="91" t="str">
        <f t="shared" si="19"/>
        <v/>
      </c>
    </row>
    <row r="1181" spans="1:1" x14ac:dyDescent="0.25">
      <c r="A1181" s="91" t="str">
        <f t="shared" si="19"/>
        <v/>
      </c>
    </row>
    <row r="1182" spans="1:1" x14ac:dyDescent="0.25">
      <c r="A1182" s="91" t="str">
        <f t="shared" si="19"/>
        <v/>
      </c>
    </row>
    <row r="1183" spans="1:1" x14ac:dyDescent="0.25">
      <c r="A1183" s="91" t="str">
        <f t="shared" si="19"/>
        <v/>
      </c>
    </row>
    <row r="1184" spans="1:1" x14ac:dyDescent="0.25">
      <c r="A1184" s="91" t="str">
        <f t="shared" si="19"/>
        <v/>
      </c>
    </row>
    <row r="1185" spans="1:1" x14ac:dyDescent="0.25">
      <c r="A1185" s="91" t="str">
        <f t="shared" si="19"/>
        <v/>
      </c>
    </row>
    <row r="1186" spans="1:1" x14ac:dyDescent="0.25">
      <c r="A1186" s="91" t="str">
        <f t="shared" ref="A1186:A1249" si="20">IF(AND(B1185&lt;&gt;"",B1186=""),"New entry---&gt;","")</f>
        <v/>
      </c>
    </row>
    <row r="1187" spans="1:1" x14ac:dyDescent="0.25">
      <c r="A1187" s="91" t="str">
        <f t="shared" si="20"/>
        <v/>
      </c>
    </row>
    <row r="1188" spans="1:1" x14ac:dyDescent="0.25">
      <c r="A1188" s="91" t="str">
        <f t="shared" si="20"/>
        <v/>
      </c>
    </row>
    <row r="1189" spans="1:1" x14ac:dyDescent="0.25">
      <c r="A1189" s="91" t="str">
        <f t="shared" si="20"/>
        <v/>
      </c>
    </row>
    <row r="1190" spans="1:1" x14ac:dyDescent="0.25">
      <c r="A1190" s="91" t="str">
        <f t="shared" si="20"/>
        <v/>
      </c>
    </row>
    <row r="1191" spans="1:1" x14ac:dyDescent="0.25">
      <c r="A1191" s="91" t="str">
        <f t="shared" si="20"/>
        <v/>
      </c>
    </row>
    <row r="1192" spans="1:1" x14ac:dyDescent="0.25">
      <c r="A1192" s="91" t="str">
        <f t="shared" si="20"/>
        <v/>
      </c>
    </row>
    <row r="1193" spans="1:1" x14ac:dyDescent="0.25">
      <c r="A1193" s="91" t="str">
        <f t="shared" si="20"/>
        <v/>
      </c>
    </row>
    <row r="1194" spans="1:1" x14ac:dyDescent="0.25">
      <c r="A1194" s="91" t="str">
        <f t="shared" si="20"/>
        <v/>
      </c>
    </row>
    <row r="1195" spans="1:1" x14ac:dyDescent="0.25">
      <c r="A1195" s="91" t="str">
        <f t="shared" si="20"/>
        <v/>
      </c>
    </row>
    <row r="1196" spans="1:1" x14ac:dyDescent="0.25">
      <c r="A1196" s="91" t="str">
        <f t="shared" si="20"/>
        <v/>
      </c>
    </row>
    <row r="1197" spans="1:1" x14ac:dyDescent="0.25">
      <c r="A1197" s="91" t="str">
        <f t="shared" si="20"/>
        <v/>
      </c>
    </row>
    <row r="1198" spans="1:1" x14ac:dyDescent="0.25">
      <c r="A1198" s="91" t="str">
        <f t="shared" si="20"/>
        <v/>
      </c>
    </row>
    <row r="1199" spans="1:1" x14ac:dyDescent="0.25">
      <c r="A1199" s="91" t="str">
        <f t="shared" si="20"/>
        <v/>
      </c>
    </row>
    <row r="1200" spans="1:1" x14ac:dyDescent="0.25">
      <c r="A1200" s="91" t="str">
        <f t="shared" si="20"/>
        <v/>
      </c>
    </row>
    <row r="1201" spans="1:1" x14ac:dyDescent="0.25">
      <c r="A1201" s="91" t="str">
        <f t="shared" si="20"/>
        <v/>
      </c>
    </row>
    <row r="1202" spans="1:1" x14ac:dyDescent="0.25">
      <c r="A1202" s="91" t="str">
        <f t="shared" si="20"/>
        <v/>
      </c>
    </row>
    <row r="1203" spans="1:1" x14ac:dyDescent="0.25">
      <c r="A1203" s="91" t="str">
        <f t="shared" si="20"/>
        <v/>
      </c>
    </row>
    <row r="1204" spans="1:1" x14ac:dyDescent="0.25">
      <c r="A1204" s="91" t="str">
        <f t="shared" si="20"/>
        <v/>
      </c>
    </row>
    <row r="1205" spans="1:1" x14ac:dyDescent="0.25">
      <c r="A1205" s="91" t="str">
        <f t="shared" si="20"/>
        <v/>
      </c>
    </row>
    <row r="1206" spans="1:1" x14ac:dyDescent="0.25">
      <c r="A1206" s="91" t="str">
        <f t="shared" si="20"/>
        <v/>
      </c>
    </row>
    <row r="1207" spans="1:1" x14ac:dyDescent="0.25">
      <c r="A1207" s="91" t="str">
        <f t="shared" si="20"/>
        <v/>
      </c>
    </row>
    <row r="1208" spans="1:1" x14ac:dyDescent="0.25">
      <c r="A1208" s="91" t="str">
        <f t="shared" si="20"/>
        <v/>
      </c>
    </row>
    <row r="1209" spans="1:1" x14ac:dyDescent="0.25">
      <c r="A1209" s="91" t="str">
        <f t="shared" si="20"/>
        <v/>
      </c>
    </row>
    <row r="1210" spans="1:1" x14ac:dyDescent="0.25">
      <c r="A1210" s="91" t="str">
        <f t="shared" si="20"/>
        <v/>
      </c>
    </row>
    <row r="1211" spans="1:1" x14ac:dyDescent="0.25">
      <c r="A1211" s="91" t="str">
        <f t="shared" si="20"/>
        <v/>
      </c>
    </row>
    <row r="1212" spans="1:1" x14ac:dyDescent="0.25">
      <c r="A1212" s="91" t="str">
        <f t="shared" si="20"/>
        <v/>
      </c>
    </row>
    <row r="1213" spans="1:1" x14ac:dyDescent="0.25">
      <c r="A1213" s="91" t="str">
        <f t="shared" si="20"/>
        <v/>
      </c>
    </row>
    <row r="1214" spans="1:1" x14ac:dyDescent="0.25">
      <c r="A1214" s="91" t="str">
        <f t="shared" si="20"/>
        <v/>
      </c>
    </row>
    <row r="1215" spans="1:1" x14ac:dyDescent="0.25">
      <c r="A1215" s="91" t="str">
        <f t="shared" si="20"/>
        <v/>
      </c>
    </row>
    <row r="1216" spans="1:1" x14ac:dyDescent="0.25">
      <c r="A1216" s="91" t="str">
        <f t="shared" si="20"/>
        <v/>
      </c>
    </row>
    <row r="1217" spans="1:1" x14ac:dyDescent="0.25">
      <c r="A1217" s="91" t="str">
        <f t="shared" si="20"/>
        <v/>
      </c>
    </row>
    <row r="1218" spans="1:1" x14ac:dyDescent="0.25">
      <c r="A1218" s="91" t="str">
        <f t="shared" si="20"/>
        <v/>
      </c>
    </row>
    <row r="1219" spans="1:1" x14ac:dyDescent="0.25">
      <c r="A1219" s="91" t="str">
        <f t="shared" si="20"/>
        <v/>
      </c>
    </row>
    <row r="1220" spans="1:1" x14ac:dyDescent="0.25">
      <c r="A1220" s="91" t="str">
        <f t="shared" si="20"/>
        <v/>
      </c>
    </row>
    <row r="1221" spans="1:1" x14ac:dyDescent="0.25">
      <c r="A1221" s="91" t="str">
        <f t="shared" si="20"/>
        <v/>
      </c>
    </row>
    <row r="1222" spans="1:1" x14ac:dyDescent="0.25">
      <c r="A1222" s="91" t="str">
        <f t="shared" si="20"/>
        <v/>
      </c>
    </row>
    <row r="1223" spans="1:1" x14ac:dyDescent="0.25">
      <c r="A1223" s="91" t="str">
        <f t="shared" si="20"/>
        <v/>
      </c>
    </row>
    <row r="1224" spans="1:1" x14ac:dyDescent="0.25">
      <c r="A1224" s="91" t="str">
        <f t="shared" si="20"/>
        <v/>
      </c>
    </row>
    <row r="1225" spans="1:1" x14ac:dyDescent="0.25">
      <c r="A1225" s="91" t="str">
        <f t="shared" si="20"/>
        <v/>
      </c>
    </row>
    <row r="1226" spans="1:1" x14ac:dyDescent="0.25">
      <c r="A1226" s="91" t="str">
        <f t="shared" si="20"/>
        <v/>
      </c>
    </row>
    <row r="1227" spans="1:1" x14ac:dyDescent="0.25">
      <c r="A1227" s="91" t="str">
        <f t="shared" si="20"/>
        <v/>
      </c>
    </row>
    <row r="1228" spans="1:1" x14ac:dyDescent="0.25">
      <c r="A1228" s="91" t="str">
        <f t="shared" si="20"/>
        <v/>
      </c>
    </row>
    <row r="1229" spans="1:1" x14ac:dyDescent="0.25">
      <c r="A1229" s="91" t="str">
        <f t="shared" si="20"/>
        <v/>
      </c>
    </row>
    <row r="1230" spans="1:1" x14ac:dyDescent="0.25">
      <c r="A1230" s="91" t="str">
        <f t="shared" si="20"/>
        <v/>
      </c>
    </row>
    <row r="1231" spans="1:1" x14ac:dyDescent="0.25">
      <c r="A1231" s="91" t="str">
        <f t="shared" si="20"/>
        <v/>
      </c>
    </row>
    <row r="1232" spans="1:1" x14ac:dyDescent="0.25">
      <c r="A1232" s="91" t="str">
        <f t="shared" si="20"/>
        <v/>
      </c>
    </row>
    <row r="1233" spans="1:1" x14ac:dyDescent="0.25">
      <c r="A1233" s="91" t="str">
        <f t="shared" si="20"/>
        <v/>
      </c>
    </row>
    <row r="1234" spans="1:1" x14ac:dyDescent="0.25">
      <c r="A1234" s="91" t="str">
        <f t="shared" si="20"/>
        <v/>
      </c>
    </row>
    <row r="1235" spans="1:1" x14ac:dyDescent="0.25">
      <c r="A1235" s="91" t="str">
        <f t="shared" si="20"/>
        <v/>
      </c>
    </row>
    <row r="1236" spans="1:1" x14ac:dyDescent="0.25">
      <c r="A1236" s="91" t="str">
        <f t="shared" si="20"/>
        <v/>
      </c>
    </row>
    <row r="1237" spans="1:1" x14ac:dyDescent="0.25">
      <c r="A1237" s="91" t="str">
        <f t="shared" si="20"/>
        <v/>
      </c>
    </row>
    <row r="1238" spans="1:1" x14ac:dyDescent="0.25">
      <c r="A1238" s="91" t="str">
        <f t="shared" si="20"/>
        <v/>
      </c>
    </row>
    <row r="1239" spans="1:1" x14ac:dyDescent="0.25">
      <c r="A1239" s="91" t="str">
        <f t="shared" si="20"/>
        <v/>
      </c>
    </row>
    <row r="1240" spans="1:1" x14ac:dyDescent="0.25">
      <c r="A1240" s="91" t="str">
        <f t="shared" si="20"/>
        <v/>
      </c>
    </row>
    <row r="1241" spans="1:1" x14ac:dyDescent="0.25">
      <c r="A1241" s="91" t="str">
        <f t="shared" si="20"/>
        <v/>
      </c>
    </row>
    <row r="1242" spans="1:1" x14ac:dyDescent="0.25">
      <c r="A1242" s="91" t="str">
        <f t="shared" si="20"/>
        <v/>
      </c>
    </row>
    <row r="1243" spans="1:1" x14ac:dyDescent="0.25">
      <c r="A1243" s="91" t="str">
        <f t="shared" si="20"/>
        <v/>
      </c>
    </row>
    <row r="1244" spans="1:1" x14ac:dyDescent="0.25">
      <c r="A1244" s="91" t="str">
        <f t="shared" si="20"/>
        <v/>
      </c>
    </row>
    <row r="1245" spans="1:1" x14ac:dyDescent="0.25">
      <c r="A1245" s="91" t="str">
        <f t="shared" si="20"/>
        <v/>
      </c>
    </row>
    <row r="1246" spans="1:1" x14ac:dyDescent="0.25">
      <c r="A1246" s="91" t="str">
        <f t="shared" si="20"/>
        <v/>
      </c>
    </row>
    <row r="1247" spans="1:1" x14ac:dyDescent="0.25">
      <c r="A1247" s="91" t="str">
        <f t="shared" si="20"/>
        <v/>
      </c>
    </row>
    <row r="1248" spans="1:1" x14ac:dyDescent="0.25">
      <c r="A1248" s="91" t="str">
        <f t="shared" si="20"/>
        <v/>
      </c>
    </row>
    <row r="1249" spans="1:1" x14ac:dyDescent="0.25">
      <c r="A1249" s="91" t="str">
        <f t="shared" si="20"/>
        <v/>
      </c>
    </row>
    <row r="1250" spans="1:1" x14ac:dyDescent="0.25">
      <c r="A1250" s="91" t="str">
        <f t="shared" ref="A1250:A1313" si="21">IF(AND(B1249&lt;&gt;"",B1250=""),"New entry---&gt;","")</f>
        <v/>
      </c>
    </row>
    <row r="1251" spans="1:1" x14ac:dyDescent="0.25">
      <c r="A1251" s="91" t="str">
        <f t="shared" si="21"/>
        <v/>
      </c>
    </row>
    <row r="1252" spans="1:1" x14ac:dyDescent="0.25">
      <c r="A1252" s="91" t="str">
        <f t="shared" si="21"/>
        <v/>
      </c>
    </row>
    <row r="1253" spans="1:1" x14ac:dyDescent="0.25">
      <c r="A1253" s="91" t="str">
        <f t="shared" si="21"/>
        <v/>
      </c>
    </row>
    <row r="1254" spans="1:1" x14ac:dyDescent="0.25">
      <c r="A1254" s="91" t="str">
        <f t="shared" si="21"/>
        <v/>
      </c>
    </row>
    <row r="1255" spans="1:1" x14ac:dyDescent="0.25">
      <c r="A1255" s="91" t="str">
        <f t="shared" si="21"/>
        <v/>
      </c>
    </row>
    <row r="1256" spans="1:1" x14ac:dyDescent="0.25">
      <c r="A1256" s="91" t="str">
        <f t="shared" si="21"/>
        <v/>
      </c>
    </row>
    <row r="1257" spans="1:1" x14ac:dyDescent="0.25">
      <c r="A1257" s="91" t="str">
        <f t="shared" si="21"/>
        <v/>
      </c>
    </row>
    <row r="1258" spans="1:1" x14ac:dyDescent="0.25">
      <c r="A1258" s="91" t="str">
        <f t="shared" si="21"/>
        <v/>
      </c>
    </row>
    <row r="1259" spans="1:1" x14ac:dyDescent="0.25">
      <c r="A1259" s="91" t="str">
        <f t="shared" si="21"/>
        <v/>
      </c>
    </row>
    <row r="1260" spans="1:1" x14ac:dyDescent="0.25">
      <c r="A1260" s="91" t="str">
        <f t="shared" si="21"/>
        <v/>
      </c>
    </row>
    <row r="1261" spans="1:1" x14ac:dyDescent="0.25">
      <c r="A1261" s="91" t="str">
        <f t="shared" si="21"/>
        <v/>
      </c>
    </row>
    <row r="1262" spans="1:1" x14ac:dyDescent="0.25">
      <c r="A1262" s="91" t="str">
        <f t="shared" si="21"/>
        <v/>
      </c>
    </row>
    <row r="1263" spans="1:1" x14ac:dyDescent="0.25">
      <c r="A1263" s="91" t="str">
        <f t="shared" si="21"/>
        <v/>
      </c>
    </row>
    <row r="1264" spans="1:1" x14ac:dyDescent="0.25">
      <c r="A1264" s="91" t="str">
        <f t="shared" si="21"/>
        <v/>
      </c>
    </row>
    <row r="1265" spans="1:1" x14ac:dyDescent="0.25">
      <c r="A1265" s="91" t="str">
        <f t="shared" si="21"/>
        <v/>
      </c>
    </row>
    <row r="1266" spans="1:1" x14ac:dyDescent="0.25">
      <c r="A1266" s="91" t="str">
        <f t="shared" si="21"/>
        <v/>
      </c>
    </row>
    <row r="1267" spans="1:1" x14ac:dyDescent="0.25">
      <c r="A1267" s="91" t="str">
        <f t="shared" si="21"/>
        <v/>
      </c>
    </row>
    <row r="1268" spans="1:1" x14ac:dyDescent="0.25">
      <c r="A1268" s="91" t="str">
        <f t="shared" si="21"/>
        <v/>
      </c>
    </row>
    <row r="1269" spans="1:1" x14ac:dyDescent="0.25">
      <c r="A1269" s="91" t="str">
        <f t="shared" si="21"/>
        <v/>
      </c>
    </row>
    <row r="1270" spans="1:1" x14ac:dyDescent="0.25">
      <c r="A1270" s="91" t="str">
        <f t="shared" si="21"/>
        <v/>
      </c>
    </row>
    <row r="1271" spans="1:1" x14ac:dyDescent="0.25">
      <c r="A1271" s="91" t="str">
        <f t="shared" si="21"/>
        <v/>
      </c>
    </row>
    <row r="1272" spans="1:1" x14ac:dyDescent="0.25">
      <c r="A1272" s="91" t="str">
        <f t="shared" si="21"/>
        <v/>
      </c>
    </row>
    <row r="1273" spans="1:1" x14ac:dyDescent="0.25">
      <c r="A1273" s="91" t="str">
        <f t="shared" si="21"/>
        <v/>
      </c>
    </row>
    <row r="1274" spans="1:1" x14ac:dyDescent="0.25">
      <c r="A1274" s="91" t="str">
        <f t="shared" si="21"/>
        <v/>
      </c>
    </row>
    <row r="1275" spans="1:1" x14ac:dyDescent="0.25">
      <c r="A1275" s="91" t="str">
        <f t="shared" si="21"/>
        <v/>
      </c>
    </row>
    <row r="1276" spans="1:1" x14ac:dyDescent="0.25">
      <c r="A1276" s="91" t="str">
        <f t="shared" si="21"/>
        <v/>
      </c>
    </row>
    <row r="1277" spans="1:1" x14ac:dyDescent="0.25">
      <c r="A1277" s="91" t="str">
        <f t="shared" si="21"/>
        <v/>
      </c>
    </row>
    <row r="1278" spans="1:1" x14ac:dyDescent="0.25">
      <c r="A1278" s="91" t="str">
        <f t="shared" si="21"/>
        <v/>
      </c>
    </row>
    <row r="1279" spans="1:1" x14ac:dyDescent="0.25">
      <c r="A1279" s="91" t="str">
        <f t="shared" si="21"/>
        <v/>
      </c>
    </row>
    <row r="1280" spans="1:1" x14ac:dyDescent="0.25">
      <c r="A1280" s="91" t="str">
        <f t="shared" si="21"/>
        <v/>
      </c>
    </row>
    <row r="1281" spans="1:1" x14ac:dyDescent="0.25">
      <c r="A1281" s="91" t="str">
        <f t="shared" si="21"/>
        <v/>
      </c>
    </row>
    <row r="1282" spans="1:1" x14ac:dyDescent="0.25">
      <c r="A1282" s="91" t="str">
        <f t="shared" si="21"/>
        <v/>
      </c>
    </row>
    <row r="1283" spans="1:1" x14ac:dyDescent="0.25">
      <c r="A1283" s="91" t="str">
        <f t="shared" si="21"/>
        <v/>
      </c>
    </row>
    <row r="1284" spans="1:1" x14ac:dyDescent="0.25">
      <c r="A1284" s="91" t="str">
        <f t="shared" si="21"/>
        <v/>
      </c>
    </row>
    <row r="1285" spans="1:1" x14ac:dyDescent="0.25">
      <c r="A1285" s="91" t="str">
        <f t="shared" si="21"/>
        <v/>
      </c>
    </row>
    <row r="1286" spans="1:1" x14ac:dyDescent="0.25">
      <c r="A1286" s="91" t="str">
        <f t="shared" si="21"/>
        <v/>
      </c>
    </row>
    <row r="1287" spans="1:1" x14ac:dyDescent="0.25">
      <c r="A1287" s="91" t="str">
        <f t="shared" si="21"/>
        <v/>
      </c>
    </row>
    <row r="1288" spans="1:1" x14ac:dyDescent="0.25">
      <c r="A1288" s="91" t="str">
        <f t="shared" si="21"/>
        <v/>
      </c>
    </row>
    <row r="1289" spans="1:1" x14ac:dyDescent="0.25">
      <c r="A1289" s="91" t="str">
        <f t="shared" si="21"/>
        <v/>
      </c>
    </row>
    <row r="1290" spans="1:1" x14ac:dyDescent="0.25">
      <c r="A1290" s="91" t="str">
        <f t="shared" si="21"/>
        <v/>
      </c>
    </row>
    <row r="1291" spans="1:1" x14ac:dyDescent="0.25">
      <c r="A1291" s="91" t="str">
        <f t="shared" si="21"/>
        <v/>
      </c>
    </row>
    <row r="1292" spans="1:1" x14ac:dyDescent="0.25">
      <c r="A1292" s="91" t="str">
        <f t="shared" si="21"/>
        <v/>
      </c>
    </row>
    <row r="1293" spans="1:1" x14ac:dyDescent="0.25">
      <c r="A1293" s="91" t="str">
        <f t="shared" si="21"/>
        <v/>
      </c>
    </row>
    <row r="1294" spans="1:1" x14ac:dyDescent="0.25">
      <c r="A1294" s="91" t="str">
        <f t="shared" si="21"/>
        <v/>
      </c>
    </row>
    <row r="1295" spans="1:1" x14ac:dyDescent="0.25">
      <c r="A1295" s="91" t="str">
        <f t="shared" si="21"/>
        <v/>
      </c>
    </row>
    <row r="1296" spans="1:1" x14ac:dyDescent="0.25">
      <c r="A1296" s="91" t="str">
        <f t="shared" si="21"/>
        <v/>
      </c>
    </row>
    <row r="1297" spans="1:1" x14ac:dyDescent="0.25">
      <c r="A1297" s="91" t="str">
        <f t="shared" si="21"/>
        <v/>
      </c>
    </row>
    <row r="1298" spans="1:1" x14ac:dyDescent="0.25">
      <c r="A1298" s="91" t="str">
        <f t="shared" si="21"/>
        <v/>
      </c>
    </row>
    <row r="1299" spans="1:1" x14ac:dyDescent="0.25">
      <c r="A1299" s="91" t="str">
        <f t="shared" si="21"/>
        <v/>
      </c>
    </row>
    <row r="1300" spans="1:1" x14ac:dyDescent="0.25">
      <c r="A1300" s="91" t="str">
        <f t="shared" si="21"/>
        <v/>
      </c>
    </row>
    <row r="1301" spans="1:1" x14ac:dyDescent="0.25">
      <c r="A1301" s="91" t="str">
        <f t="shared" si="21"/>
        <v/>
      </c>
    </row>
    <row r="1302" spans="1:1" x14ac:dyDescent="0.25">
      <c r="A1302" s="91" t="str">
        <f t="shared" si="21"/>
        <v/>
      </c>
    </row>
    <row r="1303" spans="1:1" x14ac:dyDescent="0.25">
      <c r="A1303" s="91" t="str">
        <f t="shared" si="21"/>
        <v/>
      </c>
    </row>
    <row r="1304" spans="1:1" x14ac:dyDescent="0.25">
      <c r="A1304" s="91" t="str">
        <f t="shared" si="21"/>
        <v/>
      </c>
    </row>
    <row r="1305" spans="1:1" x14ac:dyDescent="0.25">
      <c r="A1305" s="91" t="str">
        <f t="shared" si="21"/>
        <v/>
      </c>
    </row>
    <row r="1306" spans="1:1" x14ac:dyDescent="0.25">
      <c r="A1306" s="91" t="str">
        <f t="shared" si="21"/>
        <v/>
      </c>
    </row>
    <row r="1307" spans="1:1" x14ac:dyDescent="0.25">
      <c r="A1307" s="91" t="str">
        <f t="shared" si="21"/>
        <v/>
      </c>
    </row>
    <row r="1308" spans="1:1" x14ac:dyDescent="0.25">
      <c r="A1308" s="91" t="str">
        <f t="shared" si="21"/>
        <v/>
      </c>
    </row>
    <row r="1309" spans="1:1" x14ac:dyDescent="0.25">
      <c r="A1309" s="91" t="str">
        <f t="shared" si="21"/>
        <v/>
      </c>
    </row>
    <row r="1310" spans="1:1" x14ac:dyDescent="0.25">
      <c r="A1310" s="91" t="str">
        <f t="shared" si="21"/>
        <v/>
      </c>
    </row>
    <row r="1311" spans="1:1" x14ac:dyDescent="0.25">
      <c r="A1311" s="91" t="str">
        <f t="shared" si="21"/>
        <v/>
      </c>
    </row>
    <row r="1312" spans="1:1" x14ac:dyDescent="0.25">
      <c r="A1312" s="91" t="str">
        <f t="shared" si="21"/>
        <v/>
      </c>
    </row>
    <row r="1313" spans="1:1" x14ac:dyDescent="0.25">
      <c r="A1313" s="91" t="str">
        <f t="shared" si="21"/>
        <v/>
      </c>
    </row>
    <row r="1314" spans="1:1" x14ac:dyDescent="0.25">
      <c r="A1314" s="91" t="str">
        <f t="shared" ref="A1314:A1377" si="22">IF(AND(B1313&lt;&gt;"",B1314=""),"New entry---&gt;","")</f>
        <v/>
      </c>
    </row>
    <row r="1315" spans="1:1" x14ac:dyDescent="0.25">
      <c r="A1315" s="91" t="str">
        <f t="shared" si="22"/>
        <v/>
      </c>
    </row>
    <row r="1316" spans="1:1" x14ac:dyDescent="0.25">
      <c r="A1316" s="91" t="str">
        <f t="shared" si="22"/>
        <v/>
      </c>
    </row>
    <row r="1317" spans="1:1" x14ac:dyDescent="0.25">
      <c r="A1317" s="91" t="str">
        <f t="shared" si="22"/>
        <v/>
      </c>
    </row>
    <row r="1318" spans="1:1" x14ac:dyDescent="0.25">
      <c r="A1318" s="91" t="str">
        <f t="shared" si="22"/>
        <v/>
      </c>
    </row>
    <row r="1319" spans="1:1" x14ac:dyDescent="0.25">
      <c r="A1319" s="91" t="str">
        <f t="shared" si="22"/>
        <v/>
      </c>
    </row>
    <row r="1320" spans="1:1" x14ac:dyDescent="0.25">
      <c r="A1320" s="91" t="str">
        <f t="shared" si="22"/>
        <v/>
      </c>
    </row>
    <row r="1321" spans="1:1" x14ac:dyDescent="0.25">
      <c r="A1321" s="91" t="str">
        <f t="shared" si="22"/>
        <v/>
      </c>
    </row>
    <row r="1322" spans="1:1" x14ac:dyDescent="0.25">
      <c r="A1322" s="91" t="str">
        <f t="shared" si="22"/>
        <v/>
      </c>
    </row>
    <row r="1323" spans="1:1" x14ac:dyDescent="0.25">
      <c r="A1323" s="91" t="str">
        <f t="shared" si="22"/>
        <v/>
      </c>
    </row>
    <row r="1324" spans="1:1" x14ac:dyDescent="0.25">
      <c r="A1324" s="91" t="str">
        <f t="shared" si="22"/>
        <v/>
      </c>
    </row>
    <row r="1325" spans="1:1" x14ac:dyDescent="0.25">
      <c r="A1325" s="91" t="str">
        <f t="shared" si="22"/>
        <v/>
      </c>
    </row>
    <row r="1326" spans="1:1" x14ac:dyDescent="0.25">
      <c r="A1326" s="91" t="str">
        <f t="shared" si="22"/>
        <v/>
      </c>
    </row>
    <row r="1327" spans="1:1" x14ac:dyDescent="0.25">
      <c r="A1327" s="91" t="str">
        <f t="shared" si="22"/>
        <v/>
      </c>
    </row>
    <row r="1328" spans="1:1" x14ac:dyDescent="0.25">
      <c r="A1328" s="91" t="str">
        <f t="shared" si="22"/>
        <v/>
      </c>
    </row>
    <row r="1329" spans="1:1" x14ac:dyDescent="0.25">
      <c r="A1329" s="91" t="str">
        <f t="shared" si="22"/>
        <v/>
      </c>
    </row>
    <row r="1330" spans="1:1" x14ac:dyDescent="0.25">
      <c r="A1330" s="91" t="str">
        <f t="shared" si="22"/>
        <v/>
      </c>
    </row>
    <row r="1331" spans="1:1" x14ac:dyDescent="0.25">
      <c r="A1331" s="91" t="str">
        <f t="shared" si="22"/>
        <v/>
      </c>
    </row>
    <row r="1332" spans="1:1" x14ac:dyDescent="0.25">
      <c r="A1332" s="91" t="str">
        <f t="shared" si="22"/>
        <v/>
      </c>
    </row>
    <row r="1333" spans="1:1" x14ac:dyDescent="0.25">
      <c r="A1333" s="91" t="str">
        <f t="shared" si="22"/>
        <v/>
      </c>
    </row>
    <row r="1334" spans="1:1" x14ac:dyDescent="0.25">
      <c r="A1334" s="91" t="str">
        <f t="shared" si="22"/>
        <v/>
      </c>
    </row>
    <row r="1335" spans="1:1" x14ac:dyDescent="0.25">
      <c r="A1335" s="91" t="str">
        <f t="shared" si="22"/>
        <v/>
      </c>
    </row>
    <row r="1336" spans="1:1" x14ac:dyDescent="0.25">
      <c r="A1336" s="91" t="str">
        <f t="shared" si="22"/>
        <v/>
      </c>
    </row>
    <row r="1337" spans="1:1" x14ac:dyDescent="0.25">
      <c r="A1337" s="91" t="str">
        <f t="shared" si="22"/>
        <v/>
      </c>
    </row>
    <row r="1338" spans="1:1" x14ac:dyDescent="0.25">
      <c r="A1338" s="91" t="str">
        <f t="shared" si="22"/>
        <v/>
      </c>
    </row>
    <row r="1339" spans="1:1" x14ac:dyDescent="0.25">
      <c r="A1339" s="91" t="str">
        <f t="shared" si="22"/>
        <v/>
      </c>
    </row>
    <row r="1340" spans="1:1" x14ac:dyDescent="0.25">
      <c r="A1340" s="91" t="str">
        <f t="shared" si="22"/>
        <v/>
      </c>
    </row>
    <row r="1341" spans="1:1" x14ac:dyDescent="0.25">
      <c r="A1341" s="91" t="str">
        <f t="shared" si="22"/>
        <v/>
      </c>
    </row>
    <row r="1342" spans="1:1" x14ac:dyDescent="0.25">
      <c r="A1342" s="91" t="str">
        <f t="shared" si="22"/>
        <v/>
      </c>
    </row>
    <row r="1343" spans="1:1" x14ac:dyDescent="0.25">
      <c r="A1343" s="91" t="str">
        <f t="shared" si="22"/>
        <v/>
      </c>
    </row>
    <row r="1344" spans="1:1" x14ac:dyDescent="0.25">
      <c r="A1344" s="91" t="str">
        <f t="shared" si="22"/>
        <v/>
      </c>
    </row>
    <row r="1345" spans="1:1" x14ac:dyDescent="0.25">
      <c r="A1345" s="91" t="str">
        <f t="shared" si="22"/>
        <v/>
      </c>
    </row>
    <row r="1346" spans="1:1" x14ac:dyDescent="0.25">
      <c r="A1346" s="91" t="str">
        <f t="shared" si="22"/>
        <v/>
      </c>
    </row>
    <row r="1347" spans="1:1" x14ac:dyDescent="0.25">
      <c r="A1347" s="91" t="str">
        <f t="shared" si="22"/>
        <v/>
      </c>
    </row>
    <row r="1348" spans="1:1" x14ac:dyDescent="0.25">
      <c r="A1348" s="91" t="str">
        <f t="shared" si="22"/>
        <v/>
      </c>
    </row>
    <row r="1349" spans="1:1" x14ac:dyDescent="0.25">
      <c r="A1349" s="91" t="str">
        <f t="shared" si="22"/>
        <v/>
      </c>
    </row>
    <row r="1350" spans="1:1" x14ac:dyDescent="0.25">
      <c r="A1350" s="91" t="str">
        <f t="shared" si="22"/>
        <v/>
      </c>
    </row>
    <row r="1351" spans="1:1" x14ac:dyDescent="0.25">
      <c r="A1351" s="91" t="str">
        <f t="shared" si="22"/>
        <v/>
      </c>
    </row>
    <row r="1352" spans="1:1" x14ac:dyDescent="0.25">
      <c r="A1352" s="91" t="str">
        <f t="shared" si="22"/>
        <v/>
      </c>
    </row>
    <row r="1353" spans="1:1" x14ac:dyDescent="0.25">
      <c r="A1353" s="91" t="str">
        <f t="shared" si="22"/>
        <v/>
      </c>
    </row>
    <row r="1354" spans="1:1" x14ac:dyDescent="0.25">
      <c r="A1354" s="91" t="str">
        <f t="shared" si="22"/>
        <v/>
      </c>
    </row>
    <row r="1355" spans="1:1" x14ac:dyDescent="0.25">
      <c r="A1355" s="91" t="str">
        <f t="shared" si="22"/>
        <v/>
      </c>
    </row>
    <row r="1356" spans="1:1" x14ac:dyDescent="0.25">
      <c r="A1356" s="91" t="str">
        <f t="shared" si="22"/>
        <v/>
      </c>
    </row>
    <row r="1357" spans="1:1" x14ac:dyDescent="0.25">
      <c r="A1357" s="91" t="str">
        <f t="shared" si="22"/>
        <v/>
      </c>
    </row>
    <row r="1358" spans="1:1" x14ac:dyDescent="0.25">
      <c r="A1358" s="91" t="str">
        <f t="shared" si="22"/>
        <v/>
      </c>
    </row>
    <row r="1359" spans="1:1" x14ac:dyDescent="0.25">
      <c r="A1359" s="91" t="str">
        <f t="shared" si="22"/>
        <v/>
      </c>
    </row>
    <row r="1360" spans="1:1" x14ac:dyDescent="0.25">
      <c r="A1360" s="91" t="str">
        <f t="shared" si="22"/>
        <v/>
      </c>
    </row>
    <row r="1361" spans="1:1" x14ac:dyDescent="0.25">
      <c r="A1361" s="91" t="str">
        <f t="shared" si="22"/>
        <v/>
      </c>
    </row>
    <row r="1362" spans="1:1" x14ac:dyDescent="0.25">
      <c r="A1362" s="91" t="str">
        <f t="shared" si="22"/>
        <v/>
      </c>
    </row>
    <row r="1363" spans="1:1" x14ac:dyDescent="0.25">
      <c r="A1363" s="91" t="str">
        <f t="shared" si="22"/>
        <v/>
      </c>
    </row>
    <row r="1364" spans="1:1" x14ac:dyDescent="0.25">
      <c r="A1364" s="91" t="str">
        <f t="shared" si="22"/>
        <v/>
      </c>
    </row>
    <row r="1365" spans="1:1" x14ac:dyDescent="0.25">
      <c r="A1365" s="91" t="str">
        <f t="shared" si="22"/>
        <v/>
      </c>
    </row>
    <row r="1366" spans="1:1" x14ac:dyDescent="0.25">
      <c r="A1366" s="91" t="str">
        <f t="shared" si="22"/>
        <v/>
      </c>
    </row>
    <row r="1367" spans="1:1" x14ac:dyDescent="0.25">
      <c r="A1367" s="91" t="str">
        <f t="shared" si="22"/>
        <v/>
      </c>
    </row>
    <row r="1368" spans="1:1" x14ac:dyDescent="0.25">
      <c r="A1368" s="91" t="str">
        <f t="shared" si="22"/>
        <v/>
      </c>
    </row>
    <row r="1369" spans="1:1" x14ac:dyDescent="0.25">
      <c r="A1369" s="91" t="str">
        <f t="shared" si="22"/>
        <v/>
      </c>
    </row>
    <row r="1370" spans="1:1" x14ac:dyDescent="0.25">
      <c r="A1370" s="91" t="str">
        <f t="shared" si="22"/>
        <v/>
      </c>
    </row>
    <row r="1371" spans="1:1" x14ac:dyDescent="0.25">
      <c r="A1371" s="91" t="str">
        <f t="shared" si="22"/>
        <v/>
      </c>
    </row>
    <row r="1372" spans="1:1" x14ac:dyDescent="0.25">
      <c r="A1372" s="91" t="str">
        <f t="shared" si="22"/>
        <v/>
      </c>
    </row>
    <row r="1373" spans="1:1" x14ac:dyDescent="0.25">
      <c r="A1373" s="91" t="str">
        <f t="shared" si="22"/>
        <v/>
      </c>
    </row>
    <row r="1374" spans="1:1" x14ac:dyDescent="0.25">
      <c r="A1374" s="91" t="str">
        <f t="shared" si="22"/>
        <v/>
      </c>
    </row>
    <row r="1375" spans="1:1" x14ac:dyDescent="0.25">
      <c r="A1375" s="91" t="str">
        <f t="shared" si="22"/>
        <v/>
      </c>
    </row>
    <row r="1376" spans="1:1" x14ac:dyDescent="0.25">
      <c r="A1376" s="91" t="str">
        <f t="shared" si="22"/>
        <v/>
      </c>
    </row>
    <row r="1377" spans="1:1" x14ac:dyDescent="0.25">
      <c r="A1377" s="91" t="str">
        <f t="shared" si="22"/>
        <v/>
      </c>
    </row>
    <row r="1378" spans="1:1" x14ac:dyDescent="0.25">
      <c r="A1378" s="91" t="str">
        <f t="shared" ref="A1378:A1441" si="23">IF(AND(B1377&lt;&gt;"",B1378=""),"New entry---&gt;","")</f>
        <v/>
      </c>
    </row>
    <row r="1379" spans="1:1" x14ac:dyDescent="0.25">
      <c r="A1379" s="91" t="str">
        <f t="shared" si="23"/>
        <v/>
      </c>
    </row>
    <row r="1380" spans="1:1" x14ac:dyDescent="0.25">
      <c r="A1380" s="91" t="str">
        <f t="shared" si="23"/>
        <v/>
      </c>
    </row>
    <row r="1381" spans="1:1" x14ac:dyDescent="0.25">
      <c r="A1381" s="91" t="str">
        <f t="shared" si="23"/>
        <v/>
      </c>
    </row>
    <row r="1382" spans="1:1" x14ac:dyDescent="0.25">
      <c r="A1382" s="91" t="str">
        <f t="shared" si="23"/>
        <v/>
      </c>
    </row>
    <row r="1383" spans="1:1" x14ac:dyDescent="0.25">
      <c r="A1383" s="91" t="str">
        <f t="shared" si="23"/>
        <v/>
      </c>
    </row>
    <row r="1384" spans="1:1" x14ac:dyDescent="0.25">
      <c r="A1384" s="91" t="str">
        <f t="shared" si="23"/>
        <v/>
      </c>
    </row>
    <row r="1385" spans="1:1" x14ac:dyDescent="0.25">
      <c r="A1385" s="91" t="str">
        <f t="shared" si="23"/>
        <v/>
      </c>
    </row>
    <row r="1386" spans="1:1" x14ac:dyDescent="0.25">
      <c r="A1386" s="91" t="str">
        <f t="shared" si="23"/>
        <v/>
      </c>
    </row>
    <row r="1387" spans="1:1" x14ac:dyDescent="0.25">
      <c r="A1387" s="91" t="str">
        <f t="shared" si="23"/>
        <v/>
      </c>
    </row>
    <row r="1388" spans="1:1" x14ac:dyDescent="0.25">
      <c r="A1388" s="91" t="str">
        <f t="shared" si="23"/>
        <v/>
      </c>
    </row>
    <row r="1389" spans="1:1" x14ac:dyDescent="0.25">
      <c r="A1389" s="91" t="str">
        <f t="shared" si="23"/>
        <v/>
      </c>
    </row>
    <row r="1390" spans="1:1" x14ac:dyDescent="0.25">
      <c r="A1390" s="91" t="str">
        <f t="shared" si="23"/>
        <v/>
      </c>
    </row>
    <row r="1391" spans="1:1" x14ac:dyDescent="0.25">
      <c r="A1391" s="91" t="str">
        <f t="shared" si="23"/>
        <v/>
      </c>
    </row>
    <row r="1392" spans="1:1" x14ac:dyDescent="0.25">
      <c r="A1392" s="91" t="str">
        <f t="shared" si="23"/>
        <v/>
      </c>
    </row>
    <row r="1393" spans="1:1" x14ac:dyDescent="0.25">
      <c r="A1393" s="91" t="str">
        <f t="shared" si="23"/>
        <v/>
      </c>
    </row>
    <row r="1394" spans="1:1" x14ac:dyDescent="0.25">
      <c r="A1394" s="91" t="str">
        <f t="shared" si="23"/>
        <v/>
      </c>
    </row>
    <row r="1395" spans="1:1" x14ac:dyDescent="0.25">
      <c r="A1395" s="91" t="str">
        <f t="shared" si="23"/>
        <v/>
      </c>
    </row>
    <row r="1396" spans="1:1" x14ac:dyDescent="0.25">
      <c r="A1396" s="91" t="str">
        <f t="shared" si="23"/>
        <v/>
      </c>
    </row>
    <row r="1397" spans="1:1" x14ac:dyDescent="0.25">
      <c r="A1397" s="91" t="str">
        <f t="shared" si="23"/>
        <v/>
      </c>
    </row>
    <row r="1398" spans="1:1" x14ac:dyDescent="0.25">
      <c r="A1398" s="91" t="str">
        <f t="shared" si="23"/>
        <v/>
      </c>
    </row>
    <row r="1399" spans="1:1" x14ac:dyDescent="0.25">
      <c r="A1399" s="91" t="str">
        <f t="shared" si="23"/>
        <v/>
      </c>
    </row>
    <row r="1400" spans="1:1" x14ac:dyDescent="0.25">
      <c r="A1400" s="91" t="str">
        <f t="shared" si="23"/>
        <v/>
      </c>
    </row>
    <row r="1401" spans="1:1" x14ac:dyDescent="0.25">
      <c r="A1401" s="91" t="str">
        <f t="shared" si="23"/>
        <v/>
      </c>
    </row>
    <row r="1402" spans="1:1" x14ac:dyDescent="0.25">
      <c r="A1402" s="91" t="str">
        <f t="shared" si="23"/>
        <v/>
      </c>
    </row>
    <row r="1403" spans="1:1" x14ac:dyDescent="0.25">
      <c r="A1403" s="91" t="str">
        <f t="shared" si="23"/>
        <v/>
      </c>
    </row>
    <row r="1404" spans="1:1" x14ac:dyDescent="0.25">
      <c r="A1404" s="91" t="str">
        <f t="shared" si="23"/>
        <v/>
      </c>
    </row>
    <row r="1405" spans="1:1" x14ac:dyDescent="0.25">
      <c r="A1405" s="91" t="str">
        <f t="shared" si="23"/>
        <v/>
      </c>
    </row>
    <row r="1406" spans="1:1" x14ac:dyDescent="0.25">
      <c r="A1406" s="91" t="str">
        <f t="shared" si="23"/>
        <v/>
      </c>
    </row>
    <row r="1407" spans="1:1" x14ac:dyDescent="0.25">
      <c r="A1407" s="91" t="str">
        <f t="shared" si="23"/>
        <v/>
      </c>
    </row>
    <row r="1408" spans="1:1" x14ac:dyDescent="0.25">
      <c r="A1408" s="91" t="str">
        <f t="shared" si="23"/>
        <v/>
      </c>
    </row>
    <row r="1409" spans="1:1" x14ac:dyDescent="0.25">
      <c r="A1409" s="91" t="str">
        <f t="shared" si="23"/>
        <v/>
      </c>
    </row>
    <row r="1410" spans="1:1" x14ac:dyDescent="0.25">
      <c r="A1410" s="91" t="str">
        <f t="shared" si="23"/>
        <v/>
      </c>
    </row>
    <row r="1411" spans="1:1" x14ac:dyDescent="0.25">
      <c r="A1411" s="91" t="str">
        <f t="shared" si="23"/>
        <v/>
      </c>
    </row>
    <row r="1412" spans="1:1" x14ac:dyDescent="0.25">
      <c r="A1412" s="91" t="str">
        <f t="shared" si="23"/>
        <v/>
      </c>
    </row>
    <row r="1413" spans="1:1" x14ac:dyDescent="0.25">
      <c r="A1413" s="91" t="str">
        <f t="shared" si="23"/>
        <v/>
      </c>
    </row>
    <row r="1414" spans="1:1" x14ac:dyDescent="0.25">
      <c r="A1414" s="91" t="str">
        <f t="shared" si="23"/>
        <v/>
      </c>
    </row>
    <row r="1415" spans="1:1" x14ac:dyDescent="0.25">
      <c r="A1415" s="91" t="str">
        <f t="shared" si="23"/>
        <v/>
      </c>
    </row>
    <row r="1416" spans="1:1" x14ac:dyDescent="0.25">
      <c r="A1416" s="91" t="str">
        <f t="shared" si="23"/>
        <v/>
      </c>
    </row>
    <row r="1417" spans="1:1" x14ac:dyDescent="0.25">
      <c r="A1417" s="91" t="str">
        <f t="shared" si="23"/>
        <v/>
      </c>
    </row>
    <row r="1418" spans="1:1" x14ac:dyDescent="0.25">
      <c r="A1418" s="91" t="str">
        <f t="shared" si="23"/>
        <v/>
      </c>
    </row>
    <row r="1419" spans="1:1" x14ac:dyDescent="0.25">
      <c r="A1419" s="91" t="str">
        <f t="shared" si="23"/>
        <v/>
      </c>
    </row>
    <row r="1420" spans="1:1" x14ac:dyDescent="0.25">
      <c r="A1420" s="91" t="str">
        <f t="shared" si="23"/>
        <v/>
      </c>
    </row>
    <row r="1421" spans="1:1" x14ac:dyDescent="0.25">
      <c r="A1421" s="91" t="str">
        <f t="shared" si="23"/>
        <v/>
      </c>
    </row>
    <row r="1422" spans="1:1" x14ac:dyDescent="0.25">
      <c r="A1422" s="91" t="str">
        <f t="shared" si="23"/>
        <v/>
      </c>
    </row>
    <row r="1423" spans="1:1" x14ac:dyDescent="0.25">
      <c r="A1423" s="91" t="str">
        <f t="shared" si="23"/>
        <v/>
      </c>
    </row>
    <row r="1424" spans="1:1" x14ac:dyDescent="0.25">
      <c r="A1424" s="91" t="str">
        <f t="shared" si="23"/>
        <v/>
      </c>
    </row>
    <row r="1425" spans="1:1" x14ac:dyDescent="0.25">
      <c r="A1425" s="91" t="str">
        <f t="shared" si="23"/>
        <v/>
      </c>
    </row>
    <row r="1426" spans="1:1" x14ac:dyDescent="0.25">
      <c r="A1426" s="91" t="str">
        <f t="shared" si="23"/>
        <v/>
      </c>
    </row>
    <row r="1427" spans="1:1" x14ac:dyDescent="0.25">
      <c r="A1427" s="91" t="str">
        <f t="shared" si="23"/>
        <v/>
      </c>
    </row>
    <row r="1428" spans="1:1" x14ac:dyDescent="0.25">
      <c r="A1428" s="91" t="str">
        <f t="shared" si="23"/>
        <v/>
      </c>
    </row>
    <row r="1429" spans="1:1" x14ac:dyDescent="0.25">
      <c r="A1429" s="91" t="str">
        <f t="shared" si="23"/>
        <v/>
      </c>
    </row>
    <row r="1430" spans="1:1" x14ac:dyDescent="0.25">
      <c r="A1430" s="91" t="str">
        <f t="shared" si="23"/>
        <v/>
      </c>
    </row>
    <row r="1431" spans="1:1" x14ac:dyDescent="0.25">
      <c r="A1431" s="91" t="str">
        <f t="shared" si="23"/>
        <v/>
      </c>
    </row>
    <row r="1432" spans="1:1" x14ac:dyDescent="0.25">
      <c r="A1432" s="91" t="str">
        <f t="shared" si="23"/>
        <v/>
      </c>
    </row>
    <row r="1433" spans="1:1" x14ac:dyDescent="0.25">
      <c r="A1433" s="91" t="str">
        <f t="shared" si="23"/>
        <v/>
      </c>
    </row>
    <row r="1434" spans="1:1" x14ac:dyDescent="0.25">
      <c r="A1434" s="91" t="str">
        <f t="shared" si="23"/>
        <v/>
      </c>
    </row>
    <row r="1435" spans="1:1" x14ac:dyDescent="0.25">
      <c r="A1435" s="91" t="str">
        <f t="shared" si="23"/>
        <v/>
      </c>
    </row>
    <row r="1436" spans="1:1" x14ac:dyDescent="0.25">
      <c r="A1436" s="91" t="str">
        <f t="shared" si="23"/>
        <v/>
      </c>
    </row>
    <row r="1437" spans="1:1" x14ac:dyDescent="0.25">
      <c r="A1437" s="91" t="str">
        <f t="shared" si="23"/>
        <v/>
      </c>
    </row>
    <row r="1438" spans="1:1" x14ac:dyDescent="0.25">
      <c r="A1438" s="91" t="str">
        <f t="shared" si="23"/>
        <v/>
      </c>
    </row>
    <row r="1439" spans="1:1" x14ac:dyDescent="0.25">
      <c r="A1439" s="91" t="str">
        <f t="shared" si="23"/>
        <v/>
      </c>
    </row>
    <row r="1440" spans="1:1" x14ac:dyDescent="0.25">
      <c r="A1440" s="91" t="str">
        <f t="shared" si="23"/>
        <v/>
      </c>
    </row>
    <row r="1441" spans="1:1" x14ac:dyDescent="0.25">
      <c r="A1441" s="91" t="str">
        <f t="shared" si="23"/>
        <v/>
      </c>
    </row>
    <row r="1442" spans="1:1" x14ac:dyDescent="0.25">
      <c r="A1442" s="91" t="str">
        <f t="shared" ref="A1442:A1500" si="24">IF(AND(B1441&lt;&gt;"",B1442=""),"New entry---&gt;","")</f>
        <v/>
      </c>
    </row>
    <row r="1443" spans="1:1" x14ac:dyDescent="0.25">
      <c r="A1443" s="91" t="str">
        <f t="shared" si="24"/>
        <v/>
      </c>
    </row>
    <row r="1444" spans="1:1" x14ac:dyDescent="0.25">
      <c r="A1444" s="91" t="str">
        <f t="shared" si="24"/>
        <v/>
      </c>
    </row>
    <row r="1445" spans="1:1" x14ac:dyDescent="0.25">
      <c r="A1445" s="91" t="str">
        <f t="shared" si="24"/>
        <v/>
      </c>
    </row>
    <row r="1446" spans="1:1" x14ac:dyDescent="0.25">
      <c r="A1446" s="91" t="str">
        <f t="shared" si="24"/>
        <v/>
      </c>
    </row>
    <row r="1447" spans="1:1" x14ac:dyDescent="0.25">
      <c r="A1447" s="91" t="str">
        <f t="shared" si="24"/>
        <v/>
      </c>
    </row>
    <row r="1448" spans="1:1" x14ac:dyDescent="0.25">
      <c r="A1448" s="91" t="str">
        <f t="shared" si="24"/>
        <v/>
      </c>
    </row>
    <row r="1449" spans="1:1" x14ac:dyDescent="0.25">
      <c r="A1449" s="91" t="str">
        <f t="shared" si="24"/>
        <v/>
      </c>
    </row>
    <row r="1450" spans="1:1" x14ac:dyDescent="0.25">
      <c r="A1450" s="91" t="str">
        <f t="shared" si="24"/>
        <v/>
      </c>
    </row>
    <row r="1451" spans="1:1" x14ac:dyDescent="0.25">
      <c r="A1451" s="91" t="str">
        <f t="shared" si="24"/>
        <v/>
      </c>
    </row>
    <row r="1452" spans="1:1" x14ac:dyDescent="0.25">
      <c r="A1452" s="91" t="str">
        <f t="shared" si="24"/>
        <v/>
      </c>
    </row>
    <row r="1453" spans="1:1" x14ac:dyDescent="0.25">
      <c r="A1453" s="91" t="str">
        <f t="shared" si="24"/>
        <v/>
      </c>
    </row>
    <row r="1454" spans="1:1" x14ac:dyDescent="0.25">
      <c r="A1454" s="91" t="str">
        <f t="shared" si="24"/>
        <v/>
      </c>
    </row>
    <row r="1455" spans="1:1" x14ac:dyDescent="0.25">
      <c r="A1455" s="91" t="str">
        <f t="shared" si="24"/>
        <v/>
      </c>
    </row>
    <row r="1456" spans="1:1" x14ac:dyDescent="0.25">
      <c r="A1456" s="91" t="str">
        <f t="shared" si="24"/>
        <v/>
      </c>
    </row>
    <row r="1457" spans="1:1" x14ac:dyDescent="0.25">
      <c r="A1457" s="91" t="str">
        <f t="shared" si="24"/>
        <v/>
      </c>
    </row>
    <row r="1458" spans="1:1" x14ac:dyDescent="0.25">
      <c r="A1458" s="91" t="str">
        <f t="shared" si="24"/>
        <v/>
      </c>
    </row>
    <row r="1459" spans="1:1" x14ac:dyDescent="0.25">
      <c r="A1459" s="91" t="str">
        <f t="shared" si="24"/>
        <v/>
      </c>
    </row>
    <row r="1460" spans="1:1" x14ac:dyDescent="0.25">
      <c r="A1460" s="91" t="str">
        <f t="shared" si="24"/>
        <v/>
      </c>
    </row>
    <row r="1461" spans="1:1" x14ac:dyDescent="0.25">
      <c r="A1461" s="91" t="str">
        <f t="shared" si="24"/>
        <v/>
      </c>
    </row>
    <row r="1462" spans="1:1" x14ac:dyDescent="0.25">
      <c r="A1462" s="91" t="str">
        <f t="shared" si="24"/>
        <v/>
      </c>
    </row>
    <row r="1463" spans="1:1" x14ac:dyDescent="0.25">
      <c r="A1463" s="91" t="str">
        <f t="shared" si="24"/>
        <v/>
      </c>
    </row>
    <row r="1464" spans="1:1" x14ac:dyDescent="0.25">
      <c r="A1464" s="91" t="str">
        <f t="shared" si="24"/>
        <v/>
      </c>
    </row>
    <row r="1465" spans="1:1" x14ac:dyDescent="0.25">
      <c r="A1465" s="91" t="str">
        <f t="shared" si="24"/>
        <v/>
      </c>
    </row>
    <row r="1466" spans="1:1" x14ac:dyDescent="0.25">
      <c r="A1466" s="91" t="str">
        <f t="shared" si="24"/>
        <v/>
      </c>
    </row>
    <row r="1467" spans="1:1" x14ac:dyDescent="0.25">
      <c r="A1467" s="91" t="str">
        <f t="shared" si="24"/>
        <v/>
      </c>
    </row>
    <row r="1468" spans="1:1" x14ac:dyDescent="0.25">
      <c r="A1468" s="91" t="str">
        <f t="shared" si="24"/>
        <v/>
      </c>
    </row>
    <row r="1469" spans="1:1" x14ac:dyDescent="0.25">
      <c r="A1469" s="91" t="str">
        <f t="shared" si="24"/>
        <v/>
      </c>
    </row>
    <row r="1470" spans="1:1" x14ac:dyDescent="0.25">
      <c r="A1470" s="91" t="str">
        <f t="shared" si="24"/>
        <v/>
      </c>
    </row>
    <row r="1471" spans="1:1" x14ac:dyDescent="0.25">
      <c r="A1471" s="91" t="str">
        <f t="shared" si="24"/>
        <v/>
      </c>
    </row>
    <row r="1472" spans="1:1" x14ac:dyDescent="0.25">
      <c r="A1472" s="91" t="str">
        <f t="shared" si="24"/>
        <v/>
      </c>
    </row>
    <row r="1473" spans="1:1" x14ac:dyDescent="0.25">
      <c r="A1473" s="91" t="str">
        <f t="shared" si="24"/>
        <v/>
      </c>
    </row>
    <row r="1474" spans="1:1" x14ac:dyDescent="0.25">
      <c r="A1474" s="91" t="str">
        <f t="shared" si="24"/>
        <v/>
      </c>
    </row>
    <row r="1475" spans="1:1" x14ac:dyDescent="0.25">
      <c r="A1475" s="91" t="str">
        <f t="shared" si="24"/>
        <v/>
      </c>
    </row>
    <row r="1476" spans="1:1" x14ac:dyDescent="0.25">
      <c r="A1476" s="91" t="str">
        <f t="shared" si="24"/>
        <v/>
      </c>
    </row>
    <row r="1477" spans="1:1" x14ac:dyDescent="0.25">
      <c r="A1477" s="91" t="str">
        <f t="shared" si="24"/>
        <v/>
      </c>
    </row>
    <row r="1478" spans="1:1" x14ac:dyDescent="0.25">
      <c r="A1478" s="91" t="str">
        <f t="shared" si="24"/>
        <v/>
      </c>
    </row>
    <row r="1479" spans="1:1" x14ac:dyDescent="0.25">
      <c r="A1479" s="91" t="str">
        <f t="shared" si="24"/>
        <v/>
      </c>
    </row>
    <row r="1480" spans="1:1" x14ac:dyDescent="0.25">
      <c r="A1480" s="91" t="str">
        <f t="shared" si="24"/>
        <v/>
      </c>
    </row>
    <row r="1481" spans="1:1" x14ac:dyDescent="0.25">
      <c r="A1481" s="91" t="str">
        <f t="shared" si="24"/>
        <v/>
      </c>
    </row>
    <row r="1482" spans="1:1" x14ac:dyDescent="0.25">
      <c r="A1482" s="91" t="str">
        <f t="shared" si="24"/>
        <v/>
      </c>
    </row>
    <row r="1483" spans="1:1" x14ac:dyDescent="0.25">
      <c r="A1483" s="91" t="str">
        <f t="shared" si="24"/>
        <v/>
      </c>
    </row>
    <row r="1484" spans="1:1" x14ac:dyDescent="0.25">
      <c r="A1484" s="91" t="str">
        <f t="shared" si="24"/>
        <v/>
      </c>
    </row>
    <row r="1485" spans="1:1" x14ac:dyDescent="0.25">
      <c r="A1485" s="91" t="str">
        <f t="shared" si="24"/>
        <v/>
      </c>
    </row>
    <row r="1486" spans="1:1" x14ac:dyDescent="0.25">
      <c r="A1486" s="91" t="str">
        <f t="shared" si="24"/>
        <v/>
      </c>
    </row>
    <row r="1487" spans="1:1" x14ac:dyDescent="0.25">
      <c r="A1487" s="91" t="str">
        <f t="shared" si="24"/>
        <v/>
      </c>
    </row>
    <row r="1488" spans="1:1" x14ac:dyDescent="0.25">
      <c r="A1488" s="91" t="str">
        <f t="shared" si="24"/>
        <v/>
      </c>
    </row>
    <row r="1489" spans="1:1" x14ac:dyDescent="0.25">
      <c r="A1489" s="91" t="str">
        <f t="shared" si="24"/>
        <v/>
      </c>
    </row>
    <row r="1490" spans="1:1" x14ac:dyDescent="0.25">
      <c r="A1490" s="91" t="str">
        <f t="shared" si="24"/>
        <v/>
      </c>
    </row>
    <row r="1491" spans="1:1" x14ac:dyDescent="0.25">
      <c r="A1491" s="91" t="str">
        <f t="shared" si="24"/>
        <v/>
      </c>
    </row>
    <row r="1492" spans="1:1" x14ac:dyDescent="0.25">
      <c r="A1492" s="91" t="str">
        <f t="shared" si="24"/>
        <v/>
      </c>
    </row>
    <row r="1493" spans="1:1" x14ac:dyDescent="0.25">
      <c r="A1493" s="91" t="str">
        <f t="shared" si="24"/>
        <v/>
      </c>
    </row>
    <row r="1494" spans="1:1" x14ac:dyDescent="0.25">
      <c r="A1494" s="91" t="str">
        <f t="shared" si="24"/>
        <v/>
      </c>
    </row>
    <row r="1495" spans="1:1" x14ac:dyDescent="0.25">
      <c r="A1495" s="91" t="str">
        <f t="shared" si="24"/>
        <v/>
      </c>
    </row>
    <row r="1496" spans="1:1" x14ac:dyDescent="0.25">
      <c r="A1496" s="91" t="str">
        <f t="shared" si="24"/>
        <v/>
      </c>
    </row>
    <row r="1497" spans="1:1" x14ac:dyDescent="0.25">
      <c r="A1497" s="91" t="str">
        <f t="shared" si="24"/>
        <v/>
      </c>
    </row>
    <row r="1498" spans="1:1" x14ac:dyDescent="0.25">
      <c r="A1498" s="91" t="str">
        <f t="shared" si="24"/>
        <v/>
      </c>
    </row>
    <row r="1499" spans="1:1" x14ac:dyDescent="0.25">
      <c r="A1499" s="91" t="str">
        <f t="shared" si="24"/>
        <v/>
      </c>
    </row>
    <row r="1500" spans="1:1" x14ac:dyDescent="0.25">
      <c r="A1500" s="91" t="str">
        <f t="shared" si="24"/>
        <v/>
      </c>
    </row>
  </sheetData>
  <sheetProtection selectLockedCells="1"/>
  <dataValidations count="5">
    <dataValidation type="list" allowBlank="1" showInputMessage="1" showErrorMessage="1" sqref="C3:C100" xr:uid="{AA10CEA5-5297-4B58-9255-E772842EB9A7}">
      <formula1>Shift</formula1>
    </dataValidation>
    <dataValidation type="list" allowBlank="1" showInputMessage="1" showErrorMessage="1" sqref="D3:D100" xr:uid="{923AB473-1518-4257-9BF4-534DA452BC46}">
      <formula1>Line</formula1>
    </dataValidation>
    <dataValidation type="list" allowBlank="1" showInputMessage="1" showErrorMessage="1" sqref="E3:E100" xr:uid="{608BAFDD-4F10-4541-BFEF-B5CDC648F615}">
      <formula1>Product</formula1>
    </dataValidation>
    <dataValidation type="list" allowBlank="1" showInputMessage="1" showErrorMessage="1" sqref="K3:K100" xr:uid="{E665BE34-04E8-4C0A-9D77-04D6BF394206}">
      <formula1>roots</formula1>
    </dataValidation>
    <dataValidation type="decimal" operator="lessThanOrEqual" allowBlank="1" showInputMessage="1" showErrorMessage="1" sqref="F3:F100" xr:uid="{5EC56CB4-8A36-4C3E-9806-71D0E89A8A4D}">
      <formula1>G3</formula1>
    </dataValidation>
  </dataValidation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2B2B-70D9-4BF1-A950-C0B743422C00}">
  <sheetPr codeName="Sheet4">
    <tabColor rgb="FF8FCFAD"/>
  </sheetPr>
  <dimension ref="A1:W12"/>
  <sheetViews>
    <sheetView showGridLines="0" showRowColHeaders="0" zoomScaleNormal="100" workbookViewId="0">
      <pane ySplit="4" topLeftCell="A5" activePane="bottomLeft" state="frozen"/>
      <selection pane="bottomLeft" activeCell="H14" sqref="H14"/>
    </sheetView>
  </sheetViews>
  <sheetFormatPr defaultColWidth="0" defaultRowHeight="12.75" x14ac:dyDescent="0.2"/>
  <cols>
    <col min="1" max="1" width="0.7109375" style="1" customWidth="1"/>
    <col min="2" max="2" width="17.7109375" style="11" customWidth="1"/>
    <col min="3" max="3" width="15.7109375" style="11" customWidth="1"/>
    <col min="4" max="4" width="15.28515625" style="11" bestFit="1" customWidth="1"/>
    <col min="5" max="5" width="18.28515625" style="11" bestFit="1" customWidth="1"/>
    <col min="6" max="6" width="3.28515625" style="1" customWidth="1"/>
    <col min="7" max="7" width="14.5703125" style="14" customWidth="1"/>
    <col min="8" max="8" width="18.42578125" style="14" customWidth="1"/>
    <col min="9" max="9" width="3.28515625" style="1" customWidth="1"/>
    <col min="10" max="10" width="34.140625" style="14" customWidth="1"/>
    <col min="11" max="11" width="3.28515625" style="1" customWidth="1"/>
    <col min="12" max="12" width="20.42578125" style="11" customWidth="1"/>
    <col min="13" max="13" width="22.42578125" style="18" customWidth="1"/>
    <col min="14" max="14" width="0.7109375" style="1" customWidth="1"/>
    <col min="15" max="23" width="6.5703125" style="1" hidden="1" customWidth="1"/>
    <col min="24" max="16384" width="10.7109375" style="1" hidden="1"/>
  </cols>
  <sheetData>
    <row r="1" spans="1:17" x14ac:dyDescent="0.2">
      <c r="B1" s="1"/>
      <c r="C1" s="1"/>
      <c r="D1" s="1"/>
      <c r="E1" s="1"/>
      <c r="G1" s="1"/>
      <c r="H1" s="1"/>
      <c r="J1" s="1"/>
      <c r="L1" s="1"/>
      <c r="M1" s="1"/>
    </row>
    <row r="2" spans="1:17" x14ac:dyDescent="0.2">
      <c r="B2" s="1"/>
      <c r="C2" s="1"/>
      <c r="D2" s="1"/>
      <c r="E2" s="1"/>
      <c r="G2" s="1"/>
      <c r="H2" s="1"/>
      <c r="J2" s="1"/>
      <c r="L2" s="1"/>
      <c r="M2" s="1"/>
    </row>
    <row r="3" spans="1:17" x14ac:dyDescent="0.2">
      <c r="A3" s="10"/>
      <c r="B3" s="1" t="s">
        <v>17</v>
      </c>
      <c r="C3" s="1"/>
      <c r="D3" s="1"/>
      <c r="E3" s="1"/>
      <c r="F3" s="2"/>
      <c r="G3" s="1" t="s">
        <v>39</v>
      </c>
      <c r="H3" s="1"/>
      <c r="I3" s="2"/>
      <c r="J3" s="1" t="s">
        <v>40</v>
      </c>
      <c r="K3" s="2"/>
      <c r="L3" s="1" t="s">
        <v>31</v>
      </c>
      <c r="M3" s="1"/>
      <c r="N3" s="2"/>
      <c r="O3" s="2"/>
      <c r="P3" s="2"/>
      <c r="Q3" s="2"/>
    </row>
    <row r="4" spans="1:17" x14ac:dyDescent="0.2">
      <c r="B4" s="17" t="s">
        <v>18</v>
      </c>
      <c r="C4" s="17" t="s">
        <v>62</v>
      </c>
      <c r="D4" s="17" t="s">
        <v>59</v>
      </c>
      <c r="E4" s="17" t="s">
        <v>57</v>
      </c>
      <c r="F4" s="13"/>
      <c r="G4" s="17" t="s">
        <v>38</v>
      </c>
      <c r="H4" s="17" t="s">
        <v>89</v>
      </c>
      <c r="I4" s="13"/>
      <c r="J4" s="17" t="s">
        <v>30</v>
      </c>
      <c r="K4" s="13"/>
      <c r="L4" s="17" t="s">
        <v>63</v>
      </c>
      <c r="M4" s="17" t="s">
        <v>61</v>
      </c>
      <c r="N4" s="13"/>
      <c r="O4" s="13"/>
      <c r="P4" s="13"/>
      <c r="Q4" s="13"/>
    </row>
    <row r="5" spans="1:17" x14ac:dyDescent="0.2">
      <c r="B5" s="11" t="s">
        <v>19</v>
      </c>
      <c r="C5" s="11">
        <v>40</v>
      </c>
      <c r="D5" s="11">
        <v>4</v>
      </c>
      <c r="E5" s="11">
        <v>60</v>
      </c>
      <c r="G5" s="14">
        <v>1</v>
      </c>
      <c r="H5" s="14">
        <v>8</v>
      </c>
      <c r="J5" s="14" t="s">
        <v>32</v>
      </c>
      <c r="L5" s="11" t="s">
        <v>27</v>
      </c>
      <c r="M5" s="18">
        <v>1000</v>
      </c>
    </row>
    <row r="6" spans="1:17" x14ac:dyDescent="0.2">
      <c r="B6" s="11" t="s">
        <v>20</v>
      </c>
      <c r="C6" s="11">
        <v>35</v>
      </c>
      <c r="D6" s="11">
        <v>3</v>
      </c>
      <c r="E6" s="11">
        <v>50</v>
      </c>
      <c r="G6" s="14">
        <v>2</v>
      </c>
      <c r="H6" s="14">
        <v>8</v>
      </c>
      <c r="J6" s="14" t="s">
        <v>33</v>
      </c>
      <c r="L6" s="11" t="s">
        <v>28</v>
      </c>
      <c r="M6" s="18">
        <v>1200</v>
      </c>
    </row>
    <row r="7" spans="1:17" x14ac:dyDescent="0.2">
      <c r="B7" s="11" t="s">
        <v>21</v>
      </c>
      <c r="C7" s="11">
        <v>40</v>
      </c>
      <c r="D7" s="11">
        <v>3</v>
      </c>
      <c r="E7" s="11">
        <v>40</v>
      </c>
      <c r="G7" s="14">
        <v>3</v>
      </c>
      <c r="H7" s="14">
        <v>8</v>
      </c>
      <c r="J7" s="14" t="s">
        <v>34</v>
      </c>
      <c r="L7" s="11" t="s">
        <v>29</v>
      </c>
      <c r="M7" s="18">
        <v>900</v>
      </c>
    </row>
    <row r="8" spans="1:17" x14ac:dyDescent="0.2">
      <c r="B8" s="11" t="s">
        <v>22</v>
      </c>
      <c r="C8" s="11">
        <v>37</v>
      </c>
      <c r="D8" s="11">
        <v>3</v>
      </c>
      <c r="E8" s="11">
        <v>55</v>
      </c>
      <c r="J8" s="14" t="s">
        <v>35</v>
      </c>
      <c r="L8" s="11" t="s">
        <v>50</v>
      </c>
      <c r="M8" s="18">
        <v>1500</v>
      </c>
    </row>
    <row r="9" spans="1:17" x14ac:dyDescent="0.2">
      <c r="B9" s="11" t="s">
        <v>23</v>
      </c>
      <c r="C9" s="11">
        <v>42</v>
      </c>
      <c r="D9" s="11">
        <v>5</v>
      </c>
      <c r="E9" s="11">
        <v>35</v>
      </c>
      <c r="J9" s="14" t="s">
        <v>67</v>
      </c>
      <c r="L9" s="11" t="s">
        <v>51</v>
      </c>
      <c r="M9" s="18">
        <v>1300</v>
      </c>
    </row>
    <row r="10" spans="1:17" x14ac:dyDescent="0.2">
      <c r="B10" s="11" t="s">
        <v>24</v>
      </c>
      <c r="C10" s="11">
        <v>38</v>
      </c>
      <c r="D10" s="11">
        <v>2</v>
      </c>
      <c r="E10" s="11">
        <v>42</v>
      </c>
      <c r="J10" s="14" t="s">
        <v>68</v>
      </c>
    </row>
    <row r="11" spans="1:17" x14ac:dyDescent="0.2">
      <c r="B11" s="11" t="s">
        <v>25</v>
      </c>
      <c r="C11" s="11">
        <v>42</v>
      </c>
      <c r="D11" s="11">
        <v>3</v>
      </c>
      <c r="E11" s="11">
        <v>51</v>
      </c>
      <c r="J11" s="14" t="s">
        <v>36</v>
      </c>
    </row>
    <row r="12" spans="1:17" x14ac:dyDescent="0.2">
      <c r="J12" s="14" t="s">
        <v>37</v>
      </c>
    </row>
  </sheetData>
  <phoneticPr fontId="1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44283-B04B-48A6-9E28-D38EEE32773D}">
  <sheetPr codeName="Sheet6">
    <tabColor theme="0" tint="-0.249977111117893"/>
  </sheetPr>
  <dimension ref="A1:U29"/>
  <sheetViews>
    <sheetView showGridLines="0" showRowColHeaders="0" zoomScale="105" zoomScaleNormal="105" workbookViewId="0">
      <selection activeCell="E12" sqref="E12:F12"/>
    </sheetView>
  </sheetViews>
  <sheetFormatPr defaultColWidth="0" defaultRowHeight="12.75" zeroHeight="1" x14ac:dyDescent="0.2"/>
  <cols>
    <col min="1" max="1" width="5.85546875" style="20" customWidth="1"/>
    <col min="2" max="20" width="9.140625" style="20" customWidth="1"/>
    <col min="21" max="21" width="1.140625" style="1" customWidth="1"/>
    <col min="22" max="16384" width="9.140625" style="1" hidden="1"/>
  </cols>
  <sheetData>
    <row r="1" spans="1:20" ht="21" thickBot="1" x14ac:dyDescent="0.35">
      <c r="A1" s="121" t="s">
        <v>140</v>
      </c>
      <c r="B1" s="121"/>
      <c r="C1" s="121"/>
      <c r="D1" s="121"/>
      <c r="E1" s="121"/>
      <c r="F1" s="121"/>
      <c r="G1" s="121"/>
      <c r="H1" s="121"/>
      <c r="I1" s="121"/>
      <c r="J1" s="121"/>
      <c r="K1" s="121"/>
      <c r="L1" s="121"/>
      <c r="M1" s="121"/>
      <c r="N1" s="121"/>
      <c r="O1" s="121"/>
      <c r="P1" s="121"/>
      <c r="Q1" s="121"/>
      <c r="R1" s="121"/>
      <c r="S1" s="121"/>
      <c r="T1" s="121"/>
    </row>
    <row r="2" spans="1:20" ht="5.25" customHeight="1" x14ac:dyDescent="0.2"/>
    <row r="3" spans="1:20" ht="12.75" customHeight="1" x14ac:dyDescent="0.2">
      <c r="L3" s="126" t="s">
        <v>76</v>
      </c>
      <c r="M3" s="126"/>
      <c r="N3" s="126"/>
      <c r="O3" s="126" t="s">
        <v>45</v>
      </c>
      <c r="P3" s="126"/>
      <c r="Q3" s="126"/>
      <c r="R3" s="126" t="s">
        <v>77</v>
      </c>
      <c r="S3" s="126"/>
      <c r="T3" s="126"/>
    </row>
    <row r="4" spans="1:20" x14ac:dyDescent="0.2">
      <c r="B4" s="20" t="s">
        <v>69</v>
      </c>
      <c r="E4" s="122">
        <v>0</v>
      </c>
      <c r="F4" s="123"/>
      <c r="L4" s="127">
        <f>IF(E16="","",E16+E18)</f>
        <v>350</v>
      </c>
      <c r="M4" s="127"/>
      <c r="N4" s="127"/>
      <c r="O4" s="127">
        <f>IFERROR(60/E14,"")</f>
        <v>30</v>
      </c>
      <c r="P4" s="127"/>
      <c r="Q4" s="127"/>
      <c r="R4" s="127">
        <f>IFERROR((60/E14)*(((E6-E4)*24)-E8),"")</f>
        <v>479.99999999999977</v>
      </c>
      <c r="S4" s="127"/>
      <c r="T4" s="127"/>
    </row>
    <row r="5" spans="1:20" x14ac:dyDescent="0.2">
      <c r="L5" s="127"/>
      <c r="M5" s="127"/>
      <c r="N5" s="127"/>
      <c r="O5" s="127"/>
      <c r="P5" s="127"/>
      <c r="Q5" s="127"/>
      <c r="R5" s="127"/>
      <c r="S5" s="127"/>
      <c r="T5" s="127"/>
    </row>
    <row r="6" spans="1:20" x14ac:dyDescent="0.2">
      <c r="B6" s="20" t="s">
        <v>70</v>
      </c>
      <c r="E6" s="122">
        <v>0.70833333333333304</v>
      </c>
      <c r="F6" s="123"/>
      <c r="L6" s="127"/>
      <c r="M6" s="127"/>
      <c r="N6" s="127"/>
      <c r="O6" s="127"/>
      <c r="P6" s="127"/>
      <c r="Q6" s="127"/>
      <c r="R6" s="127"/>
      <c r="S6" s="127"/>
      <c r="T6" s="127"/>
    </row>
    <row r="7" spans="1:20" x14ac:dyDescent="0.2">
      <c r="L7" s="127"/>
      <c r="M7" s="127"/>
      <c r="N7" s="127"/>
      <c r="O7" s="127"/>
      <c r="P7" s="127"/>
      <c r="Q7" s="127"/>
      <c r="R7" s="127"/>
      <c r="S7" s="127"/>
      <c r="T7" s="127"/>
    </row>
    <row r="8" spans="1:20" x14ac:dyDescent="0.2">
      <c r="B8" s="20" t="s">
        <v>71</v>
      </c>
      <c r="E8" s="124">
        <v>1</v>
      </c>
      <c r="F8" s="125"/>
      <c r="G8" s="21" t="s">
        <v>83</v>
      </c>
      <c r="L8" s="127"/>
      <c r="M8" s="127"/>
      <c r="N8" s="127"/>
      <c r="O8" s="127"/>
      <c r="P8" s="127"/>
      <c r="Q8" s="127"/>
      <c r="R8" s="127"/>
      <c r="S8" s="127"/>
      <c r="T8" s="127"/>
    </row>
    <row r="9" spans="1:20" x14ac:dyDescent="0.2">
      <c r="L9" s="127"/>
      <c r="M9" s="127"/>
      <c r="N9" s="127"/>
      <c r="O9" s="127"/>
      <c r="P9" s="127"/>
      <c r="Q9" s="127"/>
      <c r="R9" s="127"/>
      <c r="S9" s="127"/>
      <c r="T9" s="127"/>
    </row>
    <row r="10" spans="1:20" x14ac:dyDescent="0.2">
      <c r="B10" s="20" t="s">
        <v>72</v>
      </c>
      <c r="E10" s="124">
        <v>2</v>
      </c>
      <c r="F10" s="125"/>
      <c r="G10" s="21" t="s">
        <v>83</v>
      </c>
      <c r="L10" s="128"/>
      <c r="M10" s="128"/>
      <c r="N10" s="128"/>
      <c r="O10" s="128"/>
      <c r="P10" s="128"/>
      <c r="Q10" s="128"/>
      <c r="R10" s="128"/>
      <c r="S10" s="128"/>
      <c r="T10" s="128"/>
    </row>
    <row r="11" spans="1:20" x14ac:dyDescent="0.2"/>
    <row r="12" spans="1:20" x14ac:dyDescent="0.2">
      <c r="B12" s="20" t="s">
        <v>46</v>
      </c>
      <c r="E12" s="124">
        <v>2</v>
      </c>
      <c r="F12" s="125"/>
      <c r="L12" s="126" t="s">
        <v>78</v>
      </c>
      <c r="M12" s="126"/>
      <c r="N12" s="126"/>
      <c r="O12" s="126" t="s">
        <v>79</v>
      </c>
      <c r="P12" s="126"/>
      <c r="Q12" s="126"/>
      <c r="R12" s="126" t="s">
        <v>26</v>
      </c>
      <c r="S12" s="126"/>
      <c r="T12" s="126"/>
    </row>
    <row r="13" spans="1:20" ht="12.75" customHeight="1" x14ac:dyDescent="0.2">
      <c r="L13" s="129">
        <f>IFERROR(IF(E10="","",(((E6-E4)*24)-E10-E8)/(((E6-E4)*24)-E8)),"")</f>
        <v>0.875</v>
      </c>
      <c r="M13" s="129"/>
      <c r="N13" s="129"/>
      <c r="O13" s="129">
        <f>IFERROR(L4/R4,"")</f>
        <v>0.72916666666666696</v>
      </c>
      <c r="P13" s="129"/>
      <c r="Q13" s="129"/>
      <c r="R13" s="129">
        <f>IFERROR(IF(E18="","",(L4-E18)/L4),"")</f>
        <v>0.8571428571428571</v>
      </c>
      <c r="S13" s="129"/>
      <c r="T13" s="129"/>
    </row>
    <row r="14" spans="1:20" ht="12.75" customHeight="1" x14ac:dyDescent="0.2">
      <c r="B14" s="20" t="s">
        <v>73</v>
      </c>
      <c r="E14" s="124">
        <v>2</v>
      </c>
      <c r="F14" s="125"/>
      <c r="G14" s="21" t="s">
        <v>75</v>
      </c>
      <c r="L14" s="129"/>
      <c r="M14" s="129"/>
      <c r="N14" s="129"/>
      <c r="O14" s="129"/>
      <c r="P14" s="129"/>
      <c r="Q14" s="129"/>
      <c r="R14" s="129"/>
      <c r="S14" s="129"/>
      <c r="T14" s="129"/>
    </row>
    <row r="15" spans="1:20" x14ac:dyDescent="0.2">
      <c r="L15" s="129"/>
      <c r="M15" s="129"/>
      <c r="N15" s="129"/>
      <c r="O15" s="129"/>
      <c r="P15" s="129"/>
      <c r="Q15" s="129"/>
      <c r="R15" s="129"/>
      <c r="S15" s="129"/>
      <c r="T15" s="129"/>
    </row>
    <row r="16" spans="1:20" x14ac:dyDescent="0.2">
      <c r="B16" s="20" t="s">
        <v>86</v>
      </c>
      <c r="E16" s="131">
        <v>300</v>
      </c>
      <c r="F16" s="132"/>
      <c r="G16" s="21"/>
      <c r="L16" s="129"/>
      <c r="M16" s="129"/>
      <c r="N16" s="129"/>
      <c r="O16" s="129"/>
      <c r="P16" s="129"/>
      <c r="Q16" s="129"/>
      <c r="R16" s="129"/>
      <c r="S16" s="129"/>
      <c r="T16" s="129"/>
    </row>
    <row r="17" spans="2:20" x14ac:dyDescent="0.2">
      <c r="L17" s="129"/>
      <c r="M17" s="129"/>
      <c r="N17" s="129"/>
      <c r="O17" s="129"/>
      <c r="P17" s="129"/>
      <c r="Q17" s="129"/>
      <c r="R17" s="129"/>
      <c r="S17" s="129"/>
      <c r="T17" s="129"/>
    </row>
    <row r="18" spans="2:20" x14ac:dyDescent="0.2">
      <c r="B18" s="20" t="s">
        <v>74</v>
      </c>
      <c r="E18" s="131">
        <v>50</v>
      </c>
      <c r="F18" s="132"/>
      <c r="L18" s="129"/>
      <c r="M18" s="129"/>
      <c r="N18" s="129"/>
      <c r="O18" s="129"/>
      <c r="P18" s="129"/>
      <c r="Q18" s="129"/>
      <c r="R18" s="129"/>
      <c r="S18" s="129"/>
      <c r="T18" s="129"/>
    </row>
    <row r="19" spans="2:20" x14ac:dyDescent="0.2">
      <c r="L19" s="130"/>
      <c r="M19" s="130"/>
      <c r="N19" s="130"/>
      <c r="O19" s="130"/>
      <c r="P19" s="130"/>
      <c r="Q19" s="130"/>
      <c r="R19" s="130"/>
      <c r="S19" s="130"/>
      <c r="T19" s="130"/>
    </row>
    <row r="20" spans="2:20" x14ac:dyDescent="0.2"/>
    <row r="21" spans="2:20" x14ac:dyDescent="0.2">
      <c r="L21" s="126" t="s">
        <v>85</v>
      </c>
      <c r="M21" s="126"/>
      <c r="N21" s="126"/>
      <c r="O21" s="126" t="s">
        <v>81</v>
      </c>
      <c r="P21" s="126"/>
      <c r="Q21" s="126"/>
      <c r="R21" s="126" t="s">
        <v>80</v>
      </c>
      <c r="S21" s="126"/>
      <c r="T21" s="126"/>
    </row>
    <row r="22" spans="2:20" ht="12.75" customHeight="1" x14ac:dyDescent="0.2">
      <c r="L22" s="133">
        <f>IFERROR(IF(E12="","",E10/E12),"")</f>
        <v>1</v>
      </c>
      <c r="M22" s="133"/>
      <c r="N22" s="133"/>
      <c r="O22" s="133">
        <f>IFERROR(IF(E12="","",(((E6-E4)*24)-E10)/E12),"")</f>
        <v>7.4999999999999964</v>
      </c>
      <c r="P22" s="133"/>
      <c r="Q22" s="133"/>
      <c r="R22" s="129">
        <f>IFERROR(R13*O13*L13,"")</f>
        <v>0.54687500000000022</v>
      </c>
      <c r="S22" s="129"/>
      <c r="T22" s="129"/>
    </row>
    <row r="23" spans="2:20" ht="12.75" customHeight="1" x14ac:dyDescent="0.2">
      <c r="L23" s="133"/>
      <c r="M23" s="133"/>
      <c r="N23" s="133"/>
      <c r="O23" s="133"/>
      <c r="P23" s="133"/>
      <c r="Q23" s="133"/>
      <c r="R23" s="129"/>
      <c r="S23" s="129"/>
      <c r="T23" s="129"/>
    </row>
    <row r="24" spans="2:20" ht="12.75" customHeight="1" x14ac:dyDescent="0.2">
      <c r="L24" s="133"/>
      <c r="M24" s="133"/>
      <c r="N24" s="133"/>
      <c r="O24" s="133"/>
      <c r="P24" s="133"/>
      <c r="Q24" s="133"/>
      <c r="R24" s="129"/>
      <c r="S24" s="129"/>
      <c r="T24" s="129"/>
    </row>
    <row r="25" spans="2:20" ht="12.75" customHeight="1" x14ac:dyDescent="0.2">
      <c r="L25" s="133"/>
      <c r="M25" s="133"/>
      <c r="N25" s="133"/>
      <c r="O25" s="133"/>
      <c r="P25" s="133"/>
      <c r="Q25" s="133"/>
      <c r="R25" s="129"/>
      <c r="S25" s="129"/>
      <c r="T25" s="129"/>
    </row>
    <row r="26" spans="2:20" ht="12.75" customHeight="1" x14ac:dyDescent="0.2">
      <c r="L26" s="133"/>
      <c r="M26" s="133"/>
      <c r="N26" s="133"/>
      <c r="O26" s="133"/>
      <c r="P26" s="133"/>
      <c r="Q26" s="133"/>
      <c r="R26" s="129"/>
      <c r="S26" s="129"/>
      <c r="T26" s="129"/>
    </row>
    <row r="27" spans="2:20" ht="12.75" customHeight="1" x14ac:dyDescent="0.2">
      <c r="E27" s="22"/>
      <c r="F27" s="22"/>
      <c r="L27" s="133"/>
      <c r="M27" s="133"/>
      <c r="N27" s="133"/>
      <c r="O27" s="133"/>
      <c r="P27" s="133"/>
      <c r="Q27" s="133"/>
      <c r="R27" s="129"/>
      <c r="S27" s="129"/>
      <c r="T27" s="129"/>
    </row>
    <row r="28" spans="2:20" ht="12.75" customHeight="1" x14ac:dyDescent="0.2">
      <c r="L28" s="134"/>
      <c r="M28" s="134"/>
      <c r="N28" s="134"/>
      <c r="O28" s="134"/>
      <c r="P28" s="134"/>
      <c r="Q28" s="134"/>
      <c r="R28" s="130"/>
      <c r="S28" s="130"/>
      <c r="T28" s="130"/>
    </row>
    <row r="29" spans="2:20" x14ac:dyDescent="0.2"/>
  </sheetData>
  <sheetProtection sheet="1" objects="1" scenarios="1" selectLockedCells="1"/>
  <mergeCells count="27">
    <mergeCell ref="L21:N21"/>
    <mergeCell ref="O21:Q21"/>
    <mergeCell ref="R21:T21"/>
    <mergeCell ref="L22:N28"/>
    <mergeCell ref="O22:Q28"/>
    <mergeCell ref="R22:T28"/>
    <mergeCell ref="R12:T12"/>
    <mergeCell ref="L13:N19"/>
    <mergeCell ref="O13:Q19"/>
    <mergeCell ref="R13:T19"/>
    <mergeCell ref="E18:F18"/>
    <mergeCell ref="E14:F14"/>
    <mergeCell ref="E16:F16"/>
    <mergeCell ref="E12:F12"/>
    <mergeCell ref="L12:N12"/>
    <mergeCell ref="O12:Q12"/>
    <mergeCell ref="A1:T1"/>
    <mergeCell ref="E4:F4"/>
    <mergeCell ref="E6:F6"/>
    <mergeCell ref="E8:F8"/>
    <mergeCell ref="E10:F10"/>
    <mergeCell ref="L3:N3"/>
    <mergeCell ref="O3:Q3"/>
    <mergeCell ref="R3:T3"/>
    <mergeCell ref="O4:Q10"/>
    <mergeCell ref="L4:N10"/>
    <mergeCell ref="R4:T10"/>
  </mergeCells>
  <conditionalFormatting sqref="L13:T19">
    <cfRule type="cellIs" dxfId="7" priority="5" operator="between">
      <formula>0.95</formula>
      <formula>5</formula>
    </cfRule>
    <cfRule type="cellIs" dxfId="6" priority="6" operator="between">
      <formula>0.75</formula>
      <formula>0.95</formula>
    </cfRule>
    <cfRule type="cellIs" dxfId="5" priority="7" operator="lessThan">
      <formula>0.75</formula>
    </cfRule>
  </conditionalFormatting>
  <conditionalFormatting sqref="R22:T28">
    <cfRule type="cellIs" dxfId="4" priority="1" operator="between">
      <formula>0.8</formula>
      <formula>5</formula>
    </cfRule>
    <cfRule type="cellIs" dxfId="3" priority="2" operator="between">
      <formula>0.6</formula>
      <formula>0.8</formula>
    </cfRule>
    <cfRule type="cellIs" dxfId="2" priority="3" operator="lessThan">
      <formula>0.6</formula>
    </cfRule>
  </conditionalFormatting>
  <dataValidations count="2">
    <dataValidation type="list" allowBlank="1" showInputMessage="1" showErrorMessage="1" sqref="E6:F6 E4:F4" xr:uid="{A91F7B9E-09C2-4273-AAEE-6D266EF8C188}">
      <formula1>time</formula1>
    </dataValidation>
    <dataValidation type="whole" operator="lessThan" allowBlank="1" showInputMessage="1" showErrorMessage="1" sqref="E16:F16" xr:uid="{BE02A4AE-D0C1-4BF3-8517-D190C32871BC}">
      <formula1>R4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set_calculator">
                <anchor moveWithCells="1" sizeWithCells="1">
                  <from>
                    <xdr:col>0</xdr:col>
                    <xdr:colOff>352425</xdr:colOff>
                    <xdr:row>19</xdr:row>
                    <xdr:rowOff>95250</xdr:rowOff>
                  </from>
                  <to>
                    <xdr:col>2</xdr:col>
                    <xdr:colOff>276225</xdr:colOff>
                    <xdr:row>20</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3AB79-2B5D-4777-84F9-0315F1AD79CC}">
  <sheetPr codeName="Sheet7"/>
  <dimension ref="B2:D51"/>
  <sheetViews>
    <sheetView workbookViewId="0">
      <selection activeCell="D3" sqref="D3"/>
    </sheetView>
  </sheetViews>
  <sheetFormatPr defaultRowHeight="15" x14ac:dyDescent="0.25"/>
  <sheetData>
    <row r="2" spans="2:4" x14ac:dyDescent="0.25">
      <c r="B2" t="s">
        <v>82</v>
      </c>
    </row>
    <row r="3" spans="2:4" x14ac:dyDescent="0.25">
      <c r="B3" s="19">
        <v>0</v>
      </c>
      <c r="D3" s="81"/>
    </row>
    <row r="4" spans="2:4" x14ac:dyDescent="0.25">
      <c r="B4" s="19">
        <v>2.0833333333333332E-2</v>
      </c>
    </row>
    <row r="5" spans="2:4" x14ac:dyDescent="0.25">
      <c r="B5" s="19">
        <v>4.1666666666666699E-2</v>
      </c>
    </row>
    <row r="6" spans="2:4" x14ac:dyDescent="0.25">
      <c r="B6" s="19">
        <v>6.25E-2</v>
      </c>
    </row>
    <row r="7" spans="2:4" x14ac:dyDescent="0.25">
      <c r="B7" s="19">
        <v>8.3333333333333301E-2</v>
      </c>
    </row>
    <row r="8" spans="2:4" x14ac:dyDescent="0.25">
      <c r="B8" s="19">
        <v>0.104166666666667</v>
      </c>
    </row>
    <row r="9" spans="2:4" x14ac:dyDescent="0.25">
      <c r="B9" s="19">
        <v>0.125</v>
      </c>
    </row>
    <row r="10" spans="2:4" x14ac:dyDescent="0.25">
      <c r="B10" s="19">
        <v>0.14583333333333301</v>
      </c>
    </row>
    <row r="11" spans="2:4" x14ac:dyDescent="0.25">
      <c r="B11" s="19">
        <v>0.16666666666666699</v>
      </c>
    </row>
    <row r="12" spans="2:4" x14ac:dyDescent="0.25">
      <c r="B12" s="19">
        <v>0.1875</v>
      </c>
    </row>
    <row r="13" spans="2:4" x14ac:dyDescent="0.25">
      <c r="B13" s="19">
        <v>0.20833333333333301</v>
      </c>
    </row>
    <row r="14" spans="2:4" x14ac:dyDescent="0.25">
      <c r="B14" s="19">
        <v>0.22916666666666699</v>
      </c>
    </row>
    <row r="15" spans="2:4" x14ac:dyDescent="0.25">
      <c r="B15" s="19">
        <v>0.25</v>
      </c>
    </row>
    <row r="16" spans="2:4" x14ac:dyDescent="0.25">
      <c r="B16" s="19">
        <v>0.27083333333333298</v>
      </c>
    </row>
    <row r="17" spans="2:2" x14ac:dyDescent="0.25">
      <c r="B17" s="19">
        <v>0.29166666666666702</v>
      </c>
    </row>
    <row r="18" spans="2:2" x14ac:dyDescent="0.25">
      <c r="B18" s="19">
        <v>0.3125</v>
      </c>
    </row>
    <row r="19" spans="2:2" x14ac:dyDescent="0.25">
      <c r="B19" s="19">
        <v>0.33333333333333298</v>
      </c>
    </row>
    <row r="20" spans="2:2" x14ac:dyDescent="0.25">
      <c r="B20" s="19">
        <v>0.35416666666666702</v>
      </c>
    </row>
    <row r="21" spans="2:2" x14ac:dyDescent="0.25">
      <c r="B21" s="19">
        <v>0.375</v>
      </c>
    </row>
    <row r="22" spans="2:2" x14ac:dyDescent="0.25">
      <c r="B22" s="19">
        <v>0.39583333333333298</v>
      </c>
    </row>
    <row r="23" spans="2:2" x14ac:dyDescent="0.25">
      <c r="B23" s="19">
        <v>0.41666666666666702</v>
      </c>
    </row>
    <row r="24" spans="2:2" x14ac:dyDescent="0.25">
      <c r="B24" s="19">
        <v>0.4375</v>
      </c>
    </row>
    <row r="25" spans="2:2" x14ac:dyDescent="0.25">
      <c r="B25" s="19">
        <v>0.45833333333333298</v>
      </c>
    </row>
    <row r="26" spans="2:2" x14ac:dyDescent="0.25">
      <c r="B26" s="19">
        <v>0.47916666666666702</v>
      </c>
    </row>
    <row r="27" spans="2:2" x14ac:dyDescent="0.25">
      <c r="B27" s="19">
        <v>0.5</v>
      </c>
    </row>
    <row r="28" spans="2:2" x14ac:dyDescent="0.25">
      <c r="B28" s="19">
        <v>0.52083333333333304</v>
      </c>
    </row>
    <row r="29" spans="2:2" x14ac:dyDescent="0.25">
      <c r="B29" s="19">
        <v>0.54166666666666696</v>
      </c>
    </row>
    <row r="30" spans="2:2" x14ac:dyDescent="0.25">
      <c r="B30" s="19">
        <v>0.5625</v>
      </c>
    </row>
    <row r="31" spans="2:2" x14ac:dyDescent="0.25">
      <c r="B31" s="19">
        <v>0.58333333333333304</v>
      </c>
    </row>
    <row r="32" spans="2:2" x14ac:dyDescent="0.25">
      <c r="B32" s="19">
        <v>0.60416666666666696</v>
      </c>
    </row>
    <row r="33" spans="2:2" x14ac:dyDescent="0.25">
      <c r="B33" s="19">
        <v>0.625</v>
      </c>
    </row>
    <row r="34" spans="2:2" x14ac:dyDescent="0.25">
      <c r="B34" s="19">
        <v>0.64583333333333304</v>
      </c>
    </row>
    <row r="35" spans="2:2" x14ac:dyDescent="0.25">
      <c r="B35" s="19">
        <v>0.66666666666666696</v>
      </c>
    </row>
    <row r="36" spans="2:2" x14ac:dyDescent="0.25">
      <c r="B36" s="19">
        <v>0.6875</v>
      </c>
    </row>
    <row r="37" spans="2:2" x14ac:dyDescent="0.25">
      <c r="B37" s="19">
        <v>0.70833333333333304</v>
      </c>
    </row>
    <row r="38" spans="2:2" x14ac:dyDescent="0.25">
      <c r="B38" s="19">
        <v>0.72916666666666696</v>
      </c>
    </row>
    <row r="39" spans="2:2" x14ac:dyDescent="0.25">
      <c r="B39" s="19">
        <v>0.75</v>
      </c>
    </row>
    <row r="40" spans="2:2" x14ac:dyDescent="0.25">
      <c r="B40" s="19">
        <v>0.77083333333333304</v>
      </c>
    </row>
    <row r="41" spans="2:2" x14ac:dyDescent="0.25">
      <c r="B41" s="19">
        <v>0.79166666666666696</v>
      </c>
    </row>
    <row r="42" spans="2:2" x14ac:dyDescent="0.25">
      <c r="B42" s="19">
        <v>0.8125</v>
      </c>
    </row>
    <row r="43" spans="2:2" x14ac:dyDescent="0.25">
      <c r="B43" s="19">
        <v>0.83333333333333304</v>
      </c>
    </row>
    <row r="44" spans="2:2" x14ac:dyDescent="0.25">
      <c r="B44" s="19">
        <v>0.85416666666666696</v>
      </c>
    </row>
    <row r="45" spans="2:2" x14ac:dyDescent="0.25">
      <c r="B45" s="19">
        <v>0.875</v>
      </c>
    </row>
    <row r="46" spans="2:2" x14ac:dyDescent="0.25">
      <c r="B46" s="19">
        <v>0.89583333333333304</v>
      </c>
    </row>
    <row r="47" spans="2:2" x14ac:dyDescent="0.25">
      <c r="B47" s="19">
        <v>0.91666666666666696</v>
      </c>
    </row>
    <row r="48" spans="2:2" x14ac:dyDescent="0.25">
      <c r="B48" s="19">
        <v>0.9375</v>
      </c>
    </row>
    <row r="49" spans="2:2" x14ac:dyDescent="0.25">
      <c r="B49" s="19">
        <v>0.95833333333333304</v>
      </c>
    </row>
    <row r="50" spans="2:2" x14ac:dyDescent="0.25">
      <c r="B50" s="19">
        <v>0.97916666666666696</v>
      </c>
    </row>
    <row r="51" spans="2:2" x14ac:dyDescent="0.25">
      <c r="B51" s="1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2B5BC36-D8BD-4786-A47C-FDCD534C62F9}">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11E634F9-D3F9-4B31-849A-34D16A555D79}">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Dashboard</vt:lpstr>
      <vt:lpstr>Sheet1</vt:lpstr>
      <vt:lpstr>Raw Data</vt:lpstr>
      <vt:lpstr>Database</vt:lpstr>
      <vt:lpstr>Calculator</vt:lpstr>
      <vt:lpstr>Helper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agwki1i</cp:lastModifiedBy>
  <cp:lastPrinted>2020-10-05T15:36:58Z</cp:lastPrinted>
  <dcterms:created xsi:type="dcterms:W3CDTF">2015-06-05T18:17:20Z</dcterms:created>
  <dcterms:modified xsi:type="dcterms:W3CDTF">2025-02-06T11:31:17Z</dcterms:modified>
</cp:coreProperties>
</file>